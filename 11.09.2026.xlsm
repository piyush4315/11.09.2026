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xmlns:r="http://schemas.openxmlformats.org/officeDocument/2006/relationships" name="Final Calculation Sheet" sheetId="1" state="visible" r:id="rId1"/>
    <sheet xmlns:r="http://schemas.openxmlformats.org/officeDocument/2006/relationships" name="Live Search" sheetId="2" state="visible" r:id="rId2"/>
    <sheet xmlns:r="http://schemas.openxmlformats.org/officeDocument/2006/relationships" name="Buyer Groups" sheetId="3" state="visible" r:id="rId3"/>
    <sheet xmlns:r="http://schemas.openxmlformats.org/officeDocument/2006/relationships" name="Lists" sheetId="4" state="hidden" r:id="rId4"/>
    <sheet xmlns:r="http://schemas.openxmlformats.org/officeDocument/2006/relationships"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4">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
      <font>
        <i/>
        <color rgb="FF999999"/>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H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
      </c>
      <c r="AD27" s="157">
        <f>S27-AC27</f>
        <v/>
      </c>
      <c r="AE27" s="153">
        <f>IF(AD27="","",IF(AD27&lt;=5,"SETTLED","OUTSTANDING"))</f>
        <v/>
      </c>
      <c r="AF27" s="153" t="n"/>
      <c r="AG27" s="158" t="n"/>
      <c r="AH27" s="159"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
      </c>
      <c r="AD29" s="157">
        <f>S29-AC29</f>
        <v/>
      </c>
      <c r="AE29" s="153">
        <f>IF(AD29="","",IF(AD29&lt;=5,"SETTLED","OUTSTANDING"))</f>
        <v/>
      </c>
      <c r="AF29" s="153" t="n"/>
      <c r="AG29" s="158" t="n"/>
      <c r="AH29" s="159"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
      </c>
      <c r="AD36" s="19">
        <f>S36-AC36</f>
        <v/>
      </c>
      <c r="AE36" s="20">
        <f>IF(AD36="","",IF(AD36&lt;=5,"SETTLED","OUTSTANDING"))</f>
        <v/>
      </c>
      <c r="AF36" s="20" t="n"/>
      <c r="AG36" s="21" t="n"/>
      <c r="AH36" s="22" t="n"/>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G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11"/>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 •  SEARCH LIFT — type in any yellow SEARCH cell and every matching lot floats to the TOP of the list (keeping its usual order), the misses sink below it in grey, each ∑ row subtotals just the rows above it (its label says rows above), and MATCHED LOTS keeps the same list beneath GRAND TOTAL. Clear the SEARCH cells to restore the alphabetical buyer blocks.</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IF(INDEX('Final Calculation Sheet'!$F$4:$F$40,$DG6)="","",INDEX('Final Calculation Sheet'!$F$4:$F$40,$DG6))</f>
        <v/>
      </c>
      <c r="C6" s="76">
        <f>IF(INDEX('Final Calculation Sheet'!$G$4:$G$40,$DG6)="","",INDEX('Final Calculation Sheet'!$G$4:$G$40,$DG6))</f>
        <v/>
      </c>
      <c r="D6" s="80">
        <f>IF(INDEX('Final Calculation Sheet'!$B$4:$B$40,$DG6)="","",INDEX('Final Calculation Sheet'!$B$4:$B$40,$DG6))</f>
        <v/>
      </c>
      <c r="E6" s="80">
        <f>IF(INDEX('Final Calculation Sheet'!$D$4:$D$40,$DG6)="","",INDEX('Final Calculation Sheet'!$D$4:$D$40,$DG6))</f>
        <v/>
      </c>
      <c r="F6" s="80">
        <f>IF(INDEX('Final Calculation Sheet'!$A$4:$A$40,$DG6)="","",INDEX('Final Calculation Sheet'!$A$4:$A$40,$DG6))</f>
        <v/>
      </c>
      <c r="G6" s="80">
        <f>IF(INDEX('Final Calculation Sheet'!$E$4:$E$40,$DG6)="","",INDEX('Final Calculation Sheet'!$E$4:$E$40,$DG6))</f>
        <v/>
      </c>
      <c r="H6" s="70">
        <f>IF(INDEX('Final Calculation Sheet'!$C$4:$C$40,$DG6)="","",INDEX('Final Calculation Sheet'!$C$4:$C$40,$DG6))</f>
        <v/>
      </c>
      <c r="I6" s="70">
        <f>IF(INDEX('Final Calculation Sheet'!$H$4:$H$40,$DG6)="","",INDEX('Final Calculation Sheet'!$H$4:$H$40,$DG6))</f>
        <v/>
      </c>
      <c r="J6" s="70">
        <f>IF(INDEX('Final Calculation Sheet'!$I$4:$I$40,$DG6)="","",INDEX('Final Calculation Sheet'!$I$4:$I$40,$DG6))</f>
        <v/>
      </c>
      <c r="K6" s="70">
        <f>IF(INDEX('Final Calculation Sheet'!$J$4:$J$40,$DG6)="","",INDEX('Final Calculation Sheet'!$J$4:$J$40,$DG6))</f>
        <v/>
      </c>
      <c r="L6" s="70">
        <f>IF(INDEX('Final Calculation Sheet'!$K$4:$K$40,$DG6)="","",INDEX('Final Calculation Sheet'!$K$4:$K$40,$DG6))</f>
        <v/>
      </c>
      <c r="M6" s="70">
        <f>IF(INDEX('Final Calculation Sheet'!$L$4:$L$40,$DG6)="","",INDEX('Final Calculation Sheet'!$L$4:$L$40,$DG6))</f>
        <v/>
      </c>
      <c r="N6" s="70">
        <f>IF(INDEX('Final Calculation Sheet'!$M$4:$M$40,$DG6)="","",INDEX('Final Calculation Sheet'!$M$4:$M$40,$DG6))</f>
        <v/>
      </c>
      <c r="O6" s="71">
        <f>IF(INDEX('Final Calculation Sheet'!$N$4:$N$40,$DG6)="","",INDEX('Final Calculation Sheet'!$N$4:$N$40,$DG6))</f>
        <v/>
      </c>
      <c r="P6" s="70">
        <f>IF(INDEX('Final Calculation Sheet'!$O$4:$O$40,$DG6)="","",INDEX('Final Calculation Sheet'!$O$4:$O$40,$DG6))</f>
        <v/>
      </c>
      <c r="Q6" s="70">
        <f>IF(INDEX('Final Calculation Sheet'!$P$4:$P$40,$DG6)="","",INDEX('Final Calculation Sheet'!$P$4:$P$40,$DG6))</f>
        <v/>
      </c>
      <c r="R6" s="72">
        <f>IF(INDEX('Final Calculation Sheet'!$Q$4:$Q$40,$DG6)="","",INDEX('Final Calculation Sheet'!$Q$4:$Q$40,$DG6))</f>
        <v/>
      </c>
      <c r="S6" s="70">
        <f>IF(INDEX('Final Calculation Sheet'!$R$4:$R$40,$DG6)="","",INDEX('Final Calculation Sheet'!$R$4:$R$40,$DG6))</f>
        <v/>
      </c>
      <c r="T6" s="70">
        <f>IF(INDEX('Final Calculation Sheet'!$S$4:$S$40,$DG6)="","",INDEX('Final Calculation Sheet'!$S$4:$S$40,$DG6))</f>
        <v/>
      </c>
      <c r="U6" s="70">
        <f>IF(INDEX('Final Calculation Sheet'!$T$4:$T$40,$DG6)="","",INDEX('Final Calculation Sheet'!$T$4:$T$40,$DG6))</f>
        <v/>
      </c>
      <c r="V6" s="73">
        <f>IF(INDEX('Final Calculation Sheet'!$U$4:$U$40,$DG6)="","",INDEX('Final Calculation Sheet'!$U$4:$U$40,$DG6))</f>
        <v/>
      </c>
      <c r="W6" s="70">
        <f>IF(INDEX('Final Calculation Sheet'!$V$4:$V$40,$DG6)="","",INDEX('Final Calculation Sheet'!$V$4:$V$40,$DG6))</f>
        <v/>
      </c>
      <c r="X6" s="70">
        <f>IF(INDEX('Final Calculation Sheet'!$W$4:$W$40,$DG6)="","",INDEX('Final Calculation Sheet'!$W$4:$W$40,$DG6))</f>
        <v/>
      </c>
      <c r="Y6" s="70">
        <f>IF(INDEX('Final Calculation Sheet'!$X$4:$X$40,$DG6)="","",INDEX('Final Calculation Sheet'!$X$4:$X$40,$DG6))</f>
        <v/>
      </c>
      <c r="Z6" s="70">
        <f>IF(INDEX('Final Calculation Sheet'!$Y$4:$Y$40,$DG6)="","",INDEX('Final Calculation Sheet'!$Y$4:$Y$40,$DG6))</f>
        <v/>
      </c>
      <c r="AA6" s="70">
        <f>IF(INDEX('Final Calculation Sheet'!$Z$4:$Z$40,$DG6)="","",INDEX('Final Calculation Sheet'!$Z$4:$Z$40,$DG6))</f>
        <v/>
      </c>
      <c r="AB6" s="70">
        <f>IF(INDEX('Final Calculation Sheet'!$AA$4:$AA$40,$DG6)="","",INDEX('Final Calculation Sheet'!$AA$4:$AA$40,$DG6))</f>
        <v/>
      </c>
      <c r="AC6" s="70">
        <f>IF(INDEX('Final Calculation Sheet'!$AB$4:$AB$40,$DG6)="","",INDEX('Final Calculation Sheet'!$AB$4:$AB$40,$DG6))</f>
        <v/>
      </c>
      <c r="AD6" s="70">
        <f>IF(INDEX('Final Calculation Sheet'!$AC$4:$AC$40,$DG6)="","",INDEX('Final Calculation Sheet'!$AC$4:$AC$40,$DG6))</f>
        <v/>
      </c>
      <c r="AE6" s="70">
        <f>IF(INDEX('Final Calculation Sheet'!$AD$4:$AD$40,$DG6)="","",INDEX('Final Calculation Sheet'!$AD$4:$AD$40,$DG6))</f>
        <v/>
      </c>
      <c r="AF6" s="75">
        <f>IF(INDEX('Final Calculation Sheet'!$AD$4:$AD$40,$DG6)="","",IF(INDEX('Final Calculation Sheet'!$AD$4:$AD$40,$DG6)&lt;=5,"SETTLED","OUTSTANDING"))</f>
        <v/>
      </c>
      <c r="AG6" s="70">
        <f>IF(INDEX('Final Calculation Sheet'!$AF$4:$AF$40,$DG6)="","",INDEX('Final Calculation Sheet'!$AF$4:$AF$40,$DG6))</f>
        <v/>
      </c>
      <c r="AH6" s="74">
        <f>IF(INDEX('Final Calculation Sheet'!$AG$4:$AG$40,$DG6)="","",INDEX('Final Calculation Sheet'!$AG$4:$AG$40,$DG6))</f>
        <v/>
      </c>
      <c r="AI6" s="70">
        <f>IF(INDEX('Final Calculation Sheet'!$AH$4:$AH$40,$DG6)="","",INDEX('Final Calculation Sheet'!$AH$4:$AH$40,$DG6))</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IF(AJ6,DD6,"")</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c r="DC6">
        <f>IF(COUNTA($B$4:$AI$4)=0,1,IF(AJ6,DE6,$DE$54+1-DE6))</f>
      </c>
      <c r="DD6">
        <f>IF(AJ6,1,0)</f>
      </c>
      <c r="DE6">
        <f>IF(AJ6,1,0)</f>
      </c>
      <c r="DF6">
        <v>1</v>
      </c>
      <c r="DG6">
        <f>IF(COUNTA($B$4:$AI$4)=0,1,INDEX($DF$6:$DF$55,MATCH(1,$DC$6:$DC$55,0)))</f>
      </c>
    </row>
    <row r="7" ht="15" customHeight="1" s="137">
      <c r="A7" s="81" t="inlineStr">
        <is>
          <t>∑</t>
        </is>
      </c>
      <c r="B7" s="83" t="n"/>
      <c r="C7" s="83">
        <f>ROWS($C$6:$C$6)&amp;" lot(s)"</f>
        <v/>
      </c>
      <c r="D7" s="83">
        <f>IF(COUNTA($B$4:$AI$4)=0,"SUBTOTAL — AL HAMD TRADE CORPORATION","SUBTOTAL — rows above")</f>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IF(AJ7,DD7,"")</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c r="DD7">
        <f>DD6+IF(AJ7,1,0)</f>
      </c>
    </row>
    <row r="8" outlineLevel="1" ht="15" customHeight="1" s="137">
      <c r="A8" s="67" t="n">
        <v>1</v>
      </c>
      <c r="B8" s="76">
        <f>IF(INDEX('Final Calculation Sheet'!$F$4:$F$40,$DG8)="","",INDEX('Final Calculation Sheet'!$F$4:$F$40,$DG8))</f>
        <v/>
      </c>
      <c r="C8" s="76">
        <f>IF(INDEX('Final Calculation Sheet'!$G$4:$G$40,$DG8)="","",INDEX('Final Calculation Sheet'!$G$4:$G$40,$DG8))</f>
        <v/>
      </c>
      <c r="D8" s="80">
        <f>IF(INDEX('Final Calculation Sheet'!$B$4:$B$40,$DG8)="","",INDEX('Final Calculation Sheet'!$B$4:$B$40,$DG8))</f>
        <v/>
      </c>
      <c r="E8" s="80">
        <f>IF(INDEX('Final Calculation Sheet'!$D$4:$D$40,$DG8)="","",INDEX('Final Calculation Sheet'!$D$4:$D$40,$DG8))</f>
        <v/>
      </c>
      <c r="F8" s="80">
        <f>IF(INDEX('Final Calculation Sheet'!$A$4:$A$40,$DG8)="","",INDEX('Final Calculation Sheet'!$A$4:$A$40,$DG8))</f>
        <v/>
      </c>
      <c r="G8" s="80">
        <f>IF(INDEX('Final Calculation Sheet'!$E$4:$E$40,$DG8)="","",INDEX('Final Calculation Sheet'!$E$4:$E$40,$DG8))</f>
        <v/>
      </c>
      <c r="H8" s="70">
        <f>IF(INDEX('Final Calculation Sheet'!$C$4:$C$40,$DG8)="","",INDEX('Final Calculation Sheet'!$C$4:$C$40,$DG8))</f>
        <v/>
      </c>
      <c r="I8" s="70">
        <f>IF(INDEX('Final Calculation Sheet'!$H$4:$H$40,$DG8)="","",INDEX('Final Calculation Sheet'!$H$4:$H$40,$DG8))</f>
        <v/>
      </c>
      <c r="J8" s="70">
        <f>IF(INDEX('Final Calculation Sheet'!$I$4:$I$40,$DG8)="","",INDEX('Final Calculation Sheet'!$I$4:$I$40,$DG8))</f>
        <v/>
      </c>
      <c r="K8" s="70">
        <f>IF(INDEX('Final Calculation Sheet'!$J$4:$J$40,$DG8)="","",INDEX('Final Calculation Sheet'!$J$4:$J$40,$DG8))</f>
        <v/>
      </c>
      <c r="L8" s="70">
        <f>IF(INDEX('Final Calculation Sheet'!$K$4:$K$40,$DG8)="","",INDEX('Final Calculation Sheet'!$K$4:$K$40,$DG8))</f>
        <v/>
      </c>
      <c r="M8" s="70">
        <f>IF(INDEX('Final Calculation Sheet'!$L$4:$L$40,$DG8)="","",INDEX('Final Calculation Sheet'!$L$4:$L$40,$DG8))</f>
        <v/>
      </c>
      <c r="N8" s="70">
        <f>IF(INDEX('Final Calculation Sheet'!$M$4:$M$40,$DG8)="","",INDEX('Final Calculation Sheet'!$M$4:$M$40,$DG8))</f>
        <v/>
      </c>
      <c r="O8" s="71">
        <f>IF(INDEX('Final Calculation Sheet'!$N$4:$N$40,$DG8)="","",INDEX('Final Calculation Sheet'!$N$4:$N$40,$DG8))</f>
        <v/>
      </c>
      <c r="P8" s="70">
        <f>IF(INDEX('Final Calculation Sheet'!$O$4:$O$40,$DG8)="","",INDEX('Final Calculation Sheet'!$O$4:$O$40,$DG8))</f>
        <v/>
      </c>
      <c r="Q8" s="70">
        <f>IF(INDEX('Final Calculation Sheet'!$P$4:$P$40,$DG8)="","",INDEX('Final Calculation Sheet'!$P$4:$P$40,$DG8))</f>
        <v/>
      </c>
      <c r="R8" s="72">
        <f>IF(INDEX('Final Calculation Sheet'!$Q$4:$Q$40,$DG8)="","",INDEX('Final Calculation Sheet'!$Q$4:$Q$40,$DG8))</f>
        <v/>
      </c>
      <c r="S8" s="70">
        <f>IF(INDEX('Final Calculation Sheet'!$R$4:$R$40,$DG8)="","",INDEX('Final Calculation Sheet'!$R$4:$R$40,$DG8))</f>
        <v/>
      </c>
      <c r="T8" s="70">
        <f>IF(INDEX('Final Calculation Sheet'!$S$4:$S$40,$DG8)="","",INDEX('Final Calculation Sheet'!$S$4:$S$40,$DG8))</f>
        <v/>
      </c>
      <c r="U8" s="70">
        <f>IF(INDEX('Final Calculation Sheet'!$T$4:$T$40,$DG8)="","",INDEX('Final Calculation Sheet'!$T$4:$T$40,$DG8))</f>
        <v/>
      </c>
      <c r="V8" s="73">
        <f>IF(INDEX('Final Calculation Sheet'!$U$4:$U$40,$DG8)="","",INDEX('Final Calculation Sheet'!$U$4:$U$40,$DG8))</f>
        <v/>
      </c>
      <c r="W8" s="70">
        <f>IF(INDEX('Final Calculation Sheet'!$V$4:$V$40,$DG8)="","",INDEX('Final Calculation Sheet'!$V$4:$V$40,$DG8))</f>
        <v/>
      </c>
      <c r="X8" s="70">
        <f>IF(INDEX('Final Calculation Sheet'!$W$4:$W$40,$DG8)="","",INDEX('Final Calculation Sheet'!$W$4:$W$40,$DG8))</f>
        <v/>
      </c>
      <c r="Y8" s="70">
        <f>IF(INDEX('Final Calculation Sheet'!$X$4:$X$40,$DG8)="","",INDEX('Final Calculation Sheet'!$X$4:$X$40,$DG8))</f>
        <v/>
      </c>
      <c r="Z8" s="70">
        <f>IF(INDEX('Final Calculation Sheet'!$Y$4:$Y$40,$DG8)="","",INDEX('Final Calculation Sheet'!$Y$4:$Y$40,$DG8))</f>
        <v/>
      </c>
      <c r="AA8" s="70">
        <f>IF(INDEX('Final Calculation Sheet'!$Z$4:$Z$40,$DG8)="","",INDEX('Final Calculation Sheet'!$Z$4:$Z$40,$DG8))</f>
        <v/>
      </c>
      <c r="AB8" s="70">
        <f>IF(INDEX('Final Calculation Sheet'!$AA$4:$AA$40,$DG8)="","",INDEX('Final Calculation Sheet'!$AA$4:$AA$40,$DG8))</f>
        <v/>
      </c>
      <c r="AC8" s="70">
        <f>IF(INDEX('Final Calculation Sheet'!$AB$4:$AB$40,$DG8)="","",INDEX('Final Calculation Sheet'!$AB$4:$AB$40,$DG8))</f>
        <v/>
      </c>
      <c r="AD8" s="70">
        <f>IF(INDEX('Final Calculation Sheet'!$AC$4:$AC$40,$DG8)="","",INDEX('Final Calculation Sheet'!$AC$4:$AC$40,$DG8))</f>
        <v/>
      </c>
      <c r="AE8" s="70">
        <f>IF(INDEX('Final Calculation Sheet'!$AD$4:$AD$40,$DG8)="","",INDEX('Final Calculation Sheet'!$AD$4:$AD$40,$DG8))</f>
        <v/>
      </c>
      <c r="AF8" s="75">
        <f>IF(INDEX('Final Calculation Sheet'!$AD$4:$AD$40,$DG8)="","",IF(INDEX('Final Calculation Sheet'!$AD$4:$AD$40,$DG8)&lt;=5,"SETTLED","OUTSTANDING"))</f>
        <v/>
      </c>
      <c r="AG8" s="70">
        <f>IF(INDEX('Final Calculation Sheet'!$AF$4:$AF$40,$DG8)="","",INDEX('Final Calculation Sheet'!$AF$4:$AF$40,$DG8))</f>
        <v/>
      </c>
      <c r="AH8" s="74">
        <f>IF(INDEX('Final Calculation Sheet'!$AG$4:$AG$40,$DG8)="","",INDEX('Final Calculation Sheet'!$AG$4:$AG$40,$DG8))</f>
        <v/>
      </c>
      <c r="AI8" s="70">
        <f>IF(INDEX('Final Calculation Sheet'!$AH$4:$AH$40,$DG8)="","",INDEX('Final Calculation Sheet'!$AH$4:$AH$40,$DG8))</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IF(AJ8,DD8,"")</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c r="DC8">
        <f>IF(COUNTA($B$4:$AI$4)=0,3,IF(AJ8,DE8,$DE$54+2-DE8))</f>
      </c>
      <c r="DD8">
        <f>DD7+IF(AJ8,1,0)</f>
      </c>
      <c r="DE8">
        <f>DE6+IF(AJ8,1,0)</f>
      </c>
      <c r="DF8">
        <v>3</v>
      </c>
      <c r="DG8">
        <f>IF(COUNTA($B$4:$AI$4)=0,3,INDEX($DF$6:$DF$55,MATCH(2,$DC$6:$DC$55,0)))</f>
      </c>
    </row>
    <row r="9" outlineLevel="1" ht="15" customHeight="1" s="137">
      <c r="A9" s="90" t="n">
        <v>2</v>
      </c>
      <c r="B9" s="92">
        <f>IF(INDEX('Final Calculation Sheet'!$F$4:$F$40,$DG9)="","",INDEX('Final Calculation Sheet'!$F$4:$F$40,$DG9))</f>
        <v/>
      </c>
      <c r="C9" s="92">
        <f>IF(INDEX('Final Calculation Sheet'!$G$4:$G$40,$DG9)="","",INDEX('Final Calculation Sheet'!$G$4:$G$40,$DG9))</f>
        <v/>
      </c>
      <c r="D9" s="94">
        <f>IF(INDEX('Final Calculation Sheet'!$B$4:$B$40,$DG9)="","",INDEX('Final Calculation Sheet'!$B$4:$B$40,$DG9))</f>
        <v/>
      </c>
      <c r="E9" s="94">
        <f>IF(INDEX('Final Calculation Sheet'!$D$4:$D$40,$DG9)="","",INDEX('Final Calculation Sheet'!$D$4:$D$40,$DG9))</f>
        <v/>
      </c>
      <c r="F9" s="94">
        <f>IF(INDEX('Final Calculation Sheet'!$A$4:$A$40,$DG9)="","",INDEX('Final Calculation Sheet'!$A$4:$A$40,$DG9))</f>
        <v/>
      </c>
      <c r="G9" s="94">
        <f>IF(INDEX('Final Calculation Sheet'!$E$4:$E$40,$DG9)="","",INDEX('Final Calculation Sheet'!$E$4:$E$40,$DG9))</f>
        <v/>
      </c>
      <c r="H9" s="95">
        <f>IF(INDEX('Final Calculation Sheet'!$C$4:$C$40,$DG9)="","",INDEX('Final Calculation Sheet'!$C$4:$C$40,$DG9))</f>
        <v/>
      </c>
      <c r="I9" s="95">
        <f>IF(INDEX('Final Calculation Sheet'!$H$4:$H$40,$DG9)="","",INDEX('Final Calculation Sheet'!$H$4:$H$40,$DG9))</f>
        <v/>
      </c>
      <c r="J9" s="95">
        <f>IF(INDEX('Final Calculation Sheet'!$I$4:$I$40,$DG9)="","",INDEX('Final Calculation Sheet'!$I$4:$I$40,$DG9))</f>
        <v/>
      </c>
      <c r="K9" s="95">
        <f>IF(INDEX('Final Calculation Sheet'!$J$4:$J$40,$DG9)="","",INDEX('Final Calculation Sheet'!$J$4:$J$40,$DG9))</f>
        <v/>
      </c>
      <c r="L9" s="95">
        <f>IF(INDEX('Final Calculation Sheet'!$K$4:$K$40,$DG9)="","",INDEX('Final Calculation Sheet'!$K$4:$K$40,$DG9))</f>
        <v/>
      </c>
      <c r="M9" s="95">
        <f>IF(INDEX('Final Calculation Sheet'!$L$4:$L$40,$DG9)="","",INDEX('Final Calculation Sheet'!$L$4:$L$40,$DG9))</f>
        <v/>
      </c>
      <c r="N9" s="95">
        <f>IF(INDEX('Final Calculation Sheet'!$M$4:$M$40,$DG9)="","",INDEX('Final Calculation Sheet'!$M$4:$M$40,$DG9))</f>
        <v/>
      </c>
      <c r="O9" s="96">
        <f>IF(INDEX('Final Calculation Sheet'!$N$4:$N$40,$DG9)="","",INDEX('Final Calculation Sheet'!$N$4:$N$40,$DG9))</f>
        <v/>
      </c>
      <c r="P9" s="95">
        <f>IF(INDEX('Final Calculation Sheet'!$O$4:$O$40,$DG9)="","",INDEX('Final Calculation Sheet'!$O$4:$O$40,$DG9))</f>
        <v/>
      </c>
      <c r="Q9" s="95">
        <f>IF(INDEX('Final Calculation Sheet'!$P$4:$P$40,$DG9)="","",INDEX('Final Calculation Sheet'!$P$4:$P$40,$DG9))</f>
        <v/>
      </c>
      <c r="R9" s="97">
        <f>IF(INDEX('Final Calculation Sheet'!$Q$4:$Q$40,$DG9)="","",INDEX('Final Calculation Sheet'!$Q$4:$Q$40,$DG9))</f>
        <v/>
      </c>
      <c r="S9" s="95">
        <f>IF(INDEX('Final Calculation Sheet'!$R$4:$R$40,$DG9)="","",INDEX('Final Calculation Sheet'!$R$4:$R$40,$DG9))</f>
        <v/>
      </c>
      <c r="T9" s="95">
        <f>IF(INDEX('Final Calculation Sheet'!$S$4:$S$40,$DG9)="","",INDEX('Final Calculation Sheet'!$S$4:$S$40,$DG9))</f>
        <v/>
      </c>
      <c r="U9" s="95">
        <f>IF(INDEX('Final Calculation Sheet'!$T$4:$T$40,$DG9)="","",INDEX('Final Calculation Sheet'!$T$4:$T$40,$DG9))</f>
        <v/>
      </c>
      <c r="V9" s="98">
        <f>IF(INDEX('Final Calculation Sheet'!$U$4:$U$40,$DG9)="","",INDEX('Final Calculation Sheet'!$U$4:$U$40,$DG9))</f>
        <v/>
      </c>
      <c r="W9" s="95">
        <f>IF(INDEX('Final Calculation Sheet'!$V$4:$V$40,$DG9)="","",INDEX('Final Calculation Sheet'!$V$4:$V$40,$DG9))</f>
        <v/>
      </c>
      <c r="X9" s="95">
        <f>IF(INDEX('Final Calculation Sheet'!$W$4:$W$40,$DG9)="","",INDEX('Final Calculation Sheet'!$W$4:$W$40,$DG9))</f>
        <v/>
      </c>
      <c r="Y9" s="95">
        <f>IF(INDEX('Final Calculation Sheet'!$X$4:$X$40,$DG9)="","",INDEX('Final Calculation Sheet'!$X$4:$X$40,$DG9))</f>
        <v/>
      </c>
      <c r="Z9" s="95">
        <f>IF(INDEX('Final Calculation Sheet'!$Y$4:$Y$40,$DG9)="","",INDEX('Final Calculation Sheet'!$Y$4:$Y$40,$DG9))</f>
        <v/>
      </c>
      <c r="AA9" s="95">
        <f>IF(INDEX('Final Calculation Sheet'!$Z$4:$Z$40,$DG9)="","",INDEX('Final Calculation Sheet'!$Z$4:$Z$40,$DG9))</f>
        <v/>
      </c>
      <c r="AB9" s="95">
        <f>IF(INDEX('Final Calculation Sheet'!$AA$4:$AA$40,$DG9)="","",INDEX('Final Calculation Sheet'!$AA$4:$AA$40,$DG9))</f>
        <v/>
      </c>
      <c r="AC9" s="95">
        <f>IF(INDEX('Final Calculation Sheet'!$AB$4:$AB$40,$DG9)="","",INDEX('Final Calculation Sheet'!$AB$4:$AB$40,$DG9))</f>
        <v/>
      </c>
      <c r="AD9" s="95">
        <f>IF(INDEX('Final Calculation Sheet'!$AC$4:$AC$40,$DG9)="","",INDEX('Final Calculation Sheet'!$AC$4:$AC$40,$DG9))</f>
        <v/>
      </c>
      <c r="AE9" s="95">
        <f>IF(INDEX('Final Calculation Sheet'!$AD$4:$AD$40,$DG9)="","",INDEX('Final Calculation Sheet'!$AD$4:$AD$40,$DG9))</f>
        <v/>
      </c>
      <c r="AF9" s="100">
        <f>IF(INDEX('Final Calculation Sheet'!$AD$4:$AD$40,$DG9)="","",IF(INDEX('Final Calculation Sheet'!$AD$4:$AD$40,$DG9)&lt;=5,"SETTLED","OUTSTANDING"))</f>
        <v/>
      </c>
      <c r="AG9" s="95">
        <f>IF(INDEX('Final Calculation Sheet'!$AF$4:$AF$40,$DG9)="","",INDEX('Final Calculation Sheet'!$AF$4:$AF$40,$DG9))</f>
        <v/>
      </c>
      <c r="AH9" s="99">
        <f>IF(INDEX('Final Calculation Sheet'!$AG$4:$AG$40,$DG9)="","",INDEX('Final Calculation Sheet'!$AG$4:$AG$40,$DG9))</f>
        <v/>
      </c>
      <c r="AI9" s="95">
        <f>IF(INDEX('Final Calculation Sheet'!$AH$4:$AH$40,$DG9)="","",INDEX('Final Calculation Sheet'!$AH$4:$AH$40,$DG9))</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IF(AJ9,DD9,"")</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c r="DC9">
        <f>IF(COUNTA($B$4:$AI$4)=0,4,IF(AJ9,DE9,$DE$54+3-DE9))</f>
      </c>
      <c r="DD9">
        <f>DD8+IF(AJ9,1,0)</f>
      </c>
      <c r="DE9">
        <f>DE8+IF(AJ9,1,0)</f>
      </c>
      <c r="DF9">
        <v>4</v>
      </c>
      <c r="DG9">
        <f>IF(COUNTA($B$4:$AI$4)=0,4,INDEX($DF$6:$DF$55,MATCH(3,$DC$6:$DC$55,0)))</f>
      </c>
    </row>
    <row r="10" ht="15" customHeight="1" s="137">
      <c r="A10" s="81" t="inlineStr">
        <is>
          <t>∑</t>
        </is>
      </c>
      <c r="B10" s="83" t="n"/>
      <c r="C10" s="83">
        <f>ROWS($C$8:$C$9)&amp;" lot(s)"</f>
        <v/>
      </c>
      <c r="D10" s="83">
        <f>IF(COUNTA($B$4:$AI$4)=0,"SUBTOTAL — F R KHANS ENTERPRISES","SUBTOTAL — rows above")</f>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IF(AJ10,DD10,"")</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c r="DD10">
        <f>DD9+IF(AJ10,1,0)</f>
      </c>
    </row>
    <row r="11" outlineLevel="1" ht="15" customHeight="1" s="137">
      <c r="A11" s="67" t="n">
        <v>1</v>
      </c>
      <c r="B11" s="76">
        <f>IF(INDEX('Final Calculation Sheet'!$F$4:$F$40,$DG11)="","",INDEX('Final Calculation Sheet'!$F$4:$F$40,$DG11))</f>
        <v/>
      </c>
      <c r="C11" s="76">
        <f>IF(INDEX('Final Calculation Sheet'!$G$4:$G$40,$DG11)="","",INDEX('Final Calculation Sheet'!$G$4:$G$40,$DG11))</f>
        <v/>
      </c>
      <c r="D11" s="80">
        <f>IF(INDEX('Final Calculation Sheet'!$B$4:$B$40,$DG11)="","",INDEX('Final Calculation Sheet'!$B$4:$B$40,$DG11))</f>
        <v/>
      </c>
      <c r="E11" s="80">
        <f>IF(INDEX('Final Calculation Sheet'!$D$4:$D$40,$DG11)="","",INDEX('Final Calculation Sheet'!$D$4:$D$40,$DG11))</f>
        <v/>
      </c>
      <c r="F11" s="80">
        <f>IF(INDEX('Final Calculation Sheet'!$A$4:$A$40,$DG11)="","",INDEX('Final Calculation Sheet'!$A$4:$A$40,$DG11))</f>
        <v/>
      </c>
      <c r="G11" s="80">
        <f>IF(INDEX('Final Calculation Sheet'!$E$4:$E$40,$DG11)="","",INDEX('Final Calculation Sheet'!$E$4:$E$40,$DG11))</f>
        <v/>
      </c>
      <c r="H11" s="70">
        <f>IF(INDEX('Final Calculation Sheet'!$C$4:$C$40,$DG11)="","",INDEX('Final Calculation Sheet'!$C$4:$C$40,$DG11))</f>
        <v/>
      </c>
      <c r="I11" s="70">
        <f>IF(INDEX('Final Calculation Sheet'!$H$4:$H$40,$DG11)="","",INDEX('Final Calculation Sheet'!$H$4:$H$40,$DG11))</f>
        <v/>
      </c>
      <c r="J11" s="70">
        <f>IF(INDEX('Final Calculation Sheet'!$I$4:$I$40,$DG11)="","",INDEX('Final Calculation Sheet'!$I$4:$I$40,$DG11))</f>
        <v/>
      </c>
      <c r="K11" s="70">
        <f>IF(INDEX('Final Calculation Sheet'!$J$4:$J$40,$DG11)="","",INDEX('Final Calculation Sheet'!$J$4:$J$40,$DG11))</f>
        <v/>
      </c>
      <c r="L11" s="70">
        <f>IF(INDEX('Final Calculation Sheet'!$K$4:$K$40,$DG11)="","",INDEX('Final Calculation Sheet'!$K$4:$K$40,$DG11))</f>
        <v/>
      </c>
      <c r="M11" s="70">
        <f>IF(INDEX('Final Calculation Sheet'!$L$4:$L$40,$DG11)="","",INDEX('Final Calculation Sheet'!$L$4:$L$40,$DG11))</f>
        <v/>
      </c>
      <c r="N11" s="70">
        <f>IF(INDEX('Final Calculation Sheet'!$M$4:$M$40,$DG11)="","",INDEX('Final Calculation Sheet'!$M$4:$M$40,$DG11))</f>
        <v/>
      </c>
      <c r="O11" s="71">
        <f>IF(INDEX('Final Calculation Sheet'!$N$4:$N$40,$DG11)="","",INDEX('Final Calculation Sheet'!$N$4:$N$40,$DG11))</f>
        <v/>
      </c>
      <c r="P11" s="70">
        <f>IF(INDEX('Final Calculation Sheet'!$O$4:$O$40,$DG11)="","",INDEX('Final Calculation Sheet'!$O$4:$O$40,$DG11))</f>
        <v/>
      </c>
      <c r="Q11" s="70">
        <f>IF(INDEX('Final Calculation Sheet'!$P$4:$P$40,$DG11)="","",INDEX('Final Calculation Sheet'!$P$4:$P$40,$DG11))</f>
        <v/>
      </c>
      <c r="R11" s="72">
        <f>IF(INDEX('Final Calculation Sheet'!$Q$4:$Q$40,$DG11)="","",INDEX('Final Calculation Sheet'!$Q$4:$Q$40,$DG11))</f>
        <v/>
      </c>
      <c r="S11" s="70">
        <f>IF(INDEX('Final Calculation Sheet'!$R$4:$R$40,$DG11)="","",INDEX('Final Calculation Sheet'!$R$4:$R$40,$DG11))</f>
        <v/>
      </c>
      <c r="T11" s="70">
        <f>IF(INDEX('Final Calculation Sheet'!$S$4:$S$40,$DG11)="","",INDEX('Final Calculation Sheet'!$S$4:$S$40,$DG11))</f>
        <v/>
      </c>
      <c r="U11" s="70">
        <f>IF(INDEX('Final Calculation Sheet'!$T$4:$T$40,$DG11)="","",INDEX('Final Calculation Sheet'!$T$4:$T$40,$DG11))</f>
        <v/>
      </c>
      <c r="V11" s="73">
        <f>IF(INDEX('Final Calculation Sheet'!$U$4:$U$40,$DG11)="","",INDEX('Final Calculation Sheet'!$U$4:$U$40,$DG11))</f>
        <v/>
      </c>
      <c r="W11" s="70">
        <f>IF(INDEX('Final Calculation Sheet'!$V$4:$V$40,$DG11)="","",INDEX('Final Calculation Sheet'!$V$4:$V$40,$DG11))</f>
        <v/>
      </c>
      <c r="X11" s="70">
        <f>IF(INDEX('Final Calculation Sheet'!$W$4:$W$40,$DG11)="","",INDEX('Final Calculation Sheet'!$W$4:$W$40,$DG11))</f>
        <v/>
      </c>
      <c r="Y11" s="70">
        <f>IF(INDEX('Final Calculation Sheet'!$X$4:$X$40,$DG11)="","",INDEX('Final Calculation Sheet'!$X$4:$X$40,$DG11))</f>
        <v/>
      </c>
      <c r="Z11" s="70">
        <f>IF(INDEX('Final Calculation Sheet'!$Y$4:$Y$40,$DG11)="","",INDEX('Final Calculation Sheet'!$Y$4:$Y$40,$DG11))</f>
        <v/>
      </c>
      <c r="AA11" s="70">
        <f>IF(INDEX('Final Calculation Sheet'!$Z$4:$Z$40,$DG11)="","",INDEX('Final Calculation Sheet'!$Z$4:$Z$40,$DG11))</f>
        <v/>
      </c>
      <c r="AB11" s="70">
        <f>IF(INDEX('Final Calculation Sheet'!$AA$4:$AA$40,$DG11)="","",INDEX('Final Calculation Sheet'!$AA$4:$AA$40,$DG11))</f>
        <v/>
      </c>
      <c r="AC11" s="70">
        <f>IF(INDEX('Final Calculation Sheet'!$AB$4:$AB$40,$DG11)="","",INDEX('Final Calculation Sheet'!$AB$4:$AB$40,$DG11))</f>
        <v/>
      </c>
      <c r="AD11" s="70">
        <f>IF(INDEX('Final Calculation Sheet'!$AC$4:$AC$40,$DG11)="","",INDEX('Final Calculation Sheet'!$AC$4:$AC$40,$DG11))</f>
        <v/>
      </c>
      <c r="AE11" s="70">
        <f>IF(INDEX('Final Calculation Sheet'!$AD$4:$AD$40,$DG11)="","",INDEX('Final Calculation Sheet'!$AD$4:$AD$40,$DG11))</f>
        <v/>
      </c>
      <c r="AF11" s="75">
        <f>IF(INDEX('Final Calculation Sheet'!$AD$4:$AD$40,$DG11)="","",IF(INDEX('Final Calculation Sheet'!$AD$4:$AD$40,$DG11)&lt;=5,"SETTLED","OUTSTANDING"))</f>
        <v/>
      </c>
      <c r="AG11" s="70">
        <f>IF(INDEX('Final Calculation Sheet'!$AF$4:$AF$40,$DG11)="","",INDEX('Final Calculation Sheet'!$AF$4:$AF$40,$DG11))</f>
        <v/>
      </c>
      <c r="AH11" s="74">
        <f>IF(INDEX('Final Calculation Sheet'!$AG$4:$AG$40,$DG11)="","",INDEX('Final Calculation Sheet'!$AG$4:$AG$40,$DG11))</f>
        <v/>
      </c>
      <c r="AI11" s="70">
        <f>IF(INDEX('Final Calculation Sheet'!$AH$4:$AH$40,$DG11)="","",INDEX('Final Calculation Sheet'!$AH$4:$AH$40,$DG11))</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IF(AJ11,DD11,"")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c r="DC11">
        <f>IF(COUNTA($B$4:$AI$4)=0,12,IF(AJ17,DE11,$DE$54+4-DE11))</f>
      </c>
      <c r="DD11">
        <f>DD10+IF(AJ11,1,0)</f>
      </c>
      <c r="DE11">
        <f>DE9+IF(AJ17,1,0)</f>
      </c>
      <c r="DF11">
        <v>12</v>
      </c>
      <c r="DG11">
        <f>IF(COUNTA($B$4:$AI$4)=0,12,INDEX($DF$6:$DF$55,MATCH(4,$DC$6:$DC$55,0)))</f>
      </c>
    </row>
    <row r="12" ht="15" customHeight="1" s="137">
      <c r="A12" s="81" t="inlineStr">
        <is>
          <t>∑</t>
        </is>
      </c>
      <c r="B12" s="83" t="n"/>
      <c r="C12" s="83">
        <f>ROWS($C$11:$C$11)&amp;" lot(s)"</f>
        <v/>
      </c>
      <c r="D12" s="83">
        <f>IF(COUNTA($B$4:$AI$4)=0,"SUBTOTAL — HIND TRADERS","SUBTOTAL — rows above")</f>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IF(AJ12,DD12,"")</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c r="DD12">
        <f>DD11+IF(AJ12,1,0)</f>
      </c>
    </row>
    <row r="13" outlineLevel="1" ht="15" customHeight="1" s="137">
      <c r="A13" s="67" t="n">
        <v>1</v>
      </c>
      <c r="B13" s="76">
        <f>IF(INDEX('Final Calculation Sheet'!$F$4:$F$40,$DG13)="","",INDEX('Final Calculation Sheet'!$F$4:$F$40,$DG13))</f>
        <v/>
      </c>
      <c r="C13" s="76">
        <f>IF(INDEX('Final Calculation Sheet'!$G$4:$G$40,$DG13)="","",INDEX('Final Calculation Sheet'!$G$4:$G$40,$DG13))</f>
        <v/>
      </c>
      <c r="D13" s="80">
        <f>IF(INDEX('Final Calculation Sheet'!$B$4:$B$40,$DG13)="","",INDEX('Final Calculation Sheet'!$B$4:$B$40,$DG13))</f>
        <v/>
      </c>
      <c r="E13" s="80">
        <f>IF(INDEX('Final Calculation Sheet'!$D$4:$D$40,$DG13)="","",INDEX('Final Calculation Sheet'!$D$4:$D$40,$DG13))</f>
        <v/>
      </c>
      <c r="F13" s="80">
        <f>IF(INDEX('Final Calculation Sheet'!$A$4:$A$40,$DG13)="","",INDEX('Final Calculation Sheet'!$A$4:$A$40,$DG13))</f>
        <v/>
      </c>
      <c r="G13" s="80">
        <f>IF(INDEX('Final Calculation Sheet'!$E$4:$E$40,$DG13)="","",INDEX('Final Calculation Sheet'!$E$4:$E$40,$DG13))</f>
        <v/>
      </c>
      <c r="H13" s="70">
        <f>IF(INDEX('Final Calculation Sheet'!$C$4:$C$40,$DG13)="","",INDEX('Final Calculation Sheet'!$C$4:$C$40,$DG13))</f>
        <v/>
      </c>
      <c r="I13" s="70">
        <f>IF(INDEX('Final Calculation Sheet'!$H$4:$H$40,$DG13)="","",INDEX('Final Calculation Sheet'!$H$4:$H$40,$DG13))</f>
        <v/>
      </c>
      <c r="J13" s="70">
        <f>IF(INDEX('Final Calculation Sheet'!$I$4:$I$40,$DG13)="","",INDEX('Final Calculation Sheet'!$I$4:$I$40,$DG13))</f>
        <v/>
      </c>
      <c r="K13" s="70">
        <f>IF(INDEX('Final Calculation Sheet'!$J$4:$J$40,$DG13)="","",INDEX('Final Calculation Sheet'!$J$4:$J$40,$DG13))</f>
        <v/>
      </c>
      <c r="L13" s="70">
        <f>IF(INDEX('Final Calculation Sheet'!$K$4:$K$40,$DG13)="","",INDEX('Final Calculation Sheet'!$K$4:$K$40,$DG13))</f>
        <v/>
      </c>
      <c r="M13" s="70">
        <f>IF(INDEX('Final Calculation Sheet'!$L$4:$L$40,$DG13)="","",INDEX('Final Calculation Sheet'!$L$4:$L$40,$DG13))</f>
        <v/>
      </c>
      <c r="N13" s="70">
        <f>IF(INDEX('Final Calculation Sheet'!$M$4:$M$40,$DG13)="","",INDEX('Final Calculation Sheet'!$M$4:$M$40,$DG13))</f>
        <v/>
      </c>
      <c r="O13" s="71">
        <f>IF(INDEX('Final Calculation Sheet'!$N$4:$N$40,$DG13)="","",INDEX('Final Calculation Sheet'!$N$4:$N$40,$DG13))</f>
        <v/>
      </c>
      <c r="P13" s="70">
        <f>IF(INDEX('Final Calculation Sheet'!$O$4:$O$40,$DG13)="","",INDEX('Final Calculation Sheet'!$O$4:$O$40,$DG13))</f>
        <v/>
      </c>
      <c r="Q13" s="70">
        <f>IF(INDEX('Final Calculation Sheet'!$P$4:$P$40,$DG13)="","",INDEX('Final Calculation Sheet'!$P$4:$P$40,$DG13))</f>
        <v/>
      </c>
      <c r="R13" s="72">
        <f>IF(INDEX('Final Calculation Sheet'!$Q$4:$Q$40,$DG13)="","",INDEX('Final Calculation Sheet'!$Q$4:$Q$40,$DG13))</f>
        <v/>
      </c>
      <c r="S13" s="70">
        <f>IF(INDEX('Final Calculation Sheet'!$R$4:$R$40,$DG13)="","",INDEX('Final Calculation Sheet'!$R$4:$R$40,$DG13))</f>
        <v/>
      </c>
      <c r="T13" s="70">
        <f>IF(INDEX('Final Calculation Sheet'!$S$4:$S$40,$DG13)="","",INDEX('Final Calculation Sheet'!$S$4:$S$40,$DG13))</f>
        <v/>
      </c>
      <c r="U13" s="70">
        <f>IF(INDEX('Final Calculation Sheet'!$T$4:$T$40,$DG13)="","",INDEX('Final Calculation Sheet'!$T$4:$T$40,$DG13))</f>
        <v/>
      </c>
      <c r="V13" s="73">
        <f>IF(INDEX('Final Calculation Sheet'!$U$4:$U$40,$DG13)="","",INDEX('Final Calculation Sheet'!$U$4:$U$40,$DG13))</f>
        <v/>
      </c>
      <c r="W13" s="70">
        <f>IF(INDEX('Final Calculation Sheet'!$V$4:$V$40,$DG13)="","",INDEX('Final Calculation Sheet'!$V$4:$V$40,$DG13))</f>
        <v/>
      </c>
      <c r="X13" s="70">
        <f>IF(INDEX('Final Calculation Sheet'!$W$4:$W$40,$DG13)="","",INDEX('Final Calculation Sheet'!$W$4:$W$40,$DG13))</f>
        <v/>
      </c>
      <c r="Y13" s="70">
        <f>IF(INDEX('Final Calculation Sheet'!$X$4:$X$40,$DG13)="","",INDEX('Final Calculation Sheet'!$X$4:$X$40,$DG13))</f>
        <v/>
      </c>
      <c r="Z13" s="70">
        <f>IF(INDEX('Final Calculation Sheet'!$Y$4:$Y$40,$DG13)="","",INDEX('Final Calculation Sheet'!$Y$4:$Y$40,$DG13))</f>
        <v/>
      </c>
      <c r="AA13" s="70">
        <f>IF(INDEX('Final Calculation Sheet'!$Z$4:$Z$40,$DG13)="","",INDEX('Final Calculation Sheet'!$Z$4:$Z$40,$DG13))</f>
        <v/>
      </c>
      <c r="AB13" s="70">
        <f>IF(INDEX('Final Calculation Sheet'!$AA$4:$AA$40,$DG13)="","",INDEX('Final Calculation Sheet'!$AA$4:$AA$40,$DG13))</f>
        <v/>
      </c>
      <c r="AC13" s="70">
        <f>IF(INDEX('Final Calculation Sheet'!$AB$4:$AB$40,$DG13)="","",INDEX('Final Calculation Sheet'!$AB$4:$AB$40,$DG13))</f>
        <v/>
      </c>
      <c r="AD13" s="70">
        <f>IF(INDEX('Final Calculation Sheet'!$AC$4:$AC$40,$DG13)="","",INDEX('Final Calculation Sheet'!$AC$4:$AC$40,$DG13))</f>
        <v/>
      </c>
      <c r="AE13" s="70">
        <f>IF(INDEX('Final Calculation Sheet'!$AD$4:$AD$40,$DG13)="","",INDEX('Final Calculation Sheet'!$AD$4:$AD$40,$DG13))</f>
        <v/>
      </c>
      <c r="AF13" s="75">
        <f>IF(INDEX('Final Calculation Sheet'!$AD$4:$AD$40,$DG13)="","",IF(INDEX('Final Calculation Sheet'!$AD$4:$AD$40,$DG13)&lt;=5,"SETTLED","OUTSTANDING"))</f>
        <v/>
      </c>
      <c r="AG13" s="70">
        <f>IF(INDEX('Final Calculation Sheet'!$AF$4:$AF$40,$DG13)="","",INDEX('Final Calculation Sheet'!$AF$4:$AF$40,$DG13))</f>
        <v/>
      </c>
      <c r="AH13" s="74">
        <f>IF(INDEX('Final Calculation Sheet'!$AG$4:$AG$40,$DG13)="","",INDEX('Final Calculation Sheet'!$AG$4:$AG$40,$DG13))</f>
        <v/>
      </c>
      <c r="AI13" s="70">
        <f>IF(INDEX('Final Calculation Sheet'!$AH$4:$AH$40,$DG13)="","",INDEX('Final Calculation Sheet'!$AH$4:$AH$40,$DG13))</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IF(AJ13,DD13,"")</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c r="DC13">
        <f>IF(COUNTA($B$4:$AI$4)=0,35,IF(AJ40,DE13,$DE$54+5-DE13))</f>
      </c>
      <c r="DD13">
        <f>DD12+IF(AJ13,1,0)</f>
      </c>
      <c r="DE13">
        <f>DE11+IF(AJ40,1,0)</f>
      </c>
      <c r="DF13">
        <v>35</v>
      </c>
      <c r="DG13">
        <f>IF(COUNTA($B$4:$AI$4)=0,35,INDEX($DF$6:$DF$55,MATCH(5,$DC$6:$DC$55,0)))</f>
      </c>
    </row>
    <row r="14" ht="15" customHeight="1" s="137">
      <c r="A14" s="81" t="inlineStr">
        <is>
          <t>∑</t>
        </is>
      </c>
      <c r="B14" s="83" t="n"/>
      <c r="C14" s="83">
        <f>ROWS($C$13:$C$13)&amp;" lot(s)"</f>
        <v/>
      </c>
      <c r="D14" s="83">
        <f>IF(COUNTA($B$4:$AI$4)=0,"SUBTOTAL — KASHYAP TRADING CO","SUBTOTAL — rows above")</f>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IF(AJ14,DD14,"")</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c r="DD14">
        <f>DD13+IF(AJ14,1,0)</f>
      </c>
    </row>
    <row r="15" outlineLevel="1" ht="15" customHeight="1" s="137">
      <c r="A15" s="67" t="n">
        <v>1</v>
      </c>
      <c r="B15" s="76">
        <f>IF(INDEX('Final Calculation Sheet'!$F$4:$F$40,$DG15)="","",INDEX('Final Calculation Sheet'!$F$4:$F$40,$DG15))</f>
        <v/>
      </c>
      <c r="C15" s="76">
        <f>IF(INDEX('Final Calculation Sheet'!$G$4:$G$40,$DG15)="","",INDEX('Final Calculation Sheet'!$G$4:$G$40,$DG15))</f>
        <v/>
      </c>
      <c r="D15" s="80">
        <f>IF(INDEX('Final Calculation Sheet'!$B$4:$B$40,$DG15)="","",INDEX('Final Calculation Sheet'!$B$4:$B$40,$DG15))</f>
        <v/>
      </c>
      <c r="E15" s="80">
        <f>IF(INDEX('Final Calculation Sheet'!$D$4:$D$40,$DG15)="","",INDEX('Final Calculation Sheet'!$D$4:$D$40,$DG15))</f>
        <v/>
      </c>
      <c r="F15" s="80">
        <f>IF(INDEX('Final Calculation Sheet'!$A$4:$A$40,$DG15)="","",INDEX('Final Calculation Sheet'!$A$4:$A$40,$DG15))</f>
        <v/>
      </c>
      <c r="G15" s="80">
        <f>IF(INDEX('Final Calculation Sheet'!$E$4:$E$40,$DG15)="","",INDEX('Final Calculation Sheet'!$E$4:$E$40,$DG15))</f>
        <v/>
      </c>
      <c r="H15" s="70">
        <f>IF(INDEX('Final Calculation Sheet'!$C$4:$C$40,$DG15)="","",INDEX('Final Calculation Sheet'!$C$4:$C$40,$DG15))</f>
        <v/>
      </c>
      <c r="I15" s="70">
        <f>IF(INDEX('Final Calculation Sheet'!$H$4:$H$40,$DG15)="","",INDEX('Final Calculation Sheet'!$H$4:$H$40,$DG15))</f>
        <v/>
      </c>
      <c r="J15" s="70">
        <f>IF(INDEX('Final Calculation Sheet'!$I$4:$I$40,$DG15)="","",INDEX('Final Calculation Sheet'!$I$4:$I$40,$DG15))</f>
        <v/>
      </c>
      <c r="K15" s="70">
        <f>IF(INDEX('Final Calculation Sheet'!$J$4:$J$40,$DG15)="","",INDEX('Final Calculation Sheet'!$J$4:$J$40,$DG15))</f>
        <v/>
      </c>
      <c r="L15" s="70">
        <f>IF(INDEX('Final Calculation Sheet'!$K$4:$K$40,$DG15)="","",INDEX('Final Calculation Sheet'!$K$4:$K$40,$DG15))</f>
        <v/>
      </c>
      <c r="M15" s="70">
        <f>IF(INDEX('Final Calculation Sheet'!$L$4:$L$40,$DG15)="","",INDEX('Final Calculation Sheet'!$L$4:$L$40,$DG15))</f>
        <v/>
      </c>
      <c r="N15" s="70">
        <f>IF(INDEX('Final Calculation Sheet'!$M$4:$M$40,$DG15)="","",INDEX('Final Calculation Sheet'!$M$4:$M$40,$DG15))</f>
        <v/>
      </c>
      <c r="O15" s="71">
        <f>IF(INDEX('Final Calculation Sheet'!$N$4:$N$40,$DG15)="","",INDEX('Final Calculation Sheet'!$N$4:$N$40,$DG15))</f>
        <v/>
      </c>
      <c r="P15" s="70">
        <f>IF(INDEX('Final Calculation Sheet'!$O$4:$O$40,$DG15)="","",INDEX('Final Calculation Sheet'!$O$4:$O$40,$DG15))</f>
        <v/>
      </c>
      <c r="Q15" s="70">
        <f>IF(INDEX('Final Calculation Sheet'!$P$4:$P$40,$DG15)="","",INDEX('Final Calculation Sheet'!$P$4:$P$40,$DG15))</f>
        <v/>
      </c>
      <c r="R15" s="72">
        <f>IF(INDEX('Final Calculation Sheet'!$Q$4:$Q$40,$DG15)="","",INDEX('Final Calculation Sheet'!$Q$4:$Q$40,$DG15))</f>
        <v/>
      </c>
      <c r="S15" s="70">
        <f>IF(INDEX('Final Calculation Sheet'!$R$4:$R$40,$DG15)="","",INDEX('Final Calculation Sheet'!$R$4:$R$40,$DG15))</f>
        <v/>
      </c>
      <c r="T15" s="70">
        <f>IF(INDEX('Final Calculation Sheet'!$S$4:$S$40,$DG15)="","",INDEX('Final Calculation Sheet'!$S$4:$S$40,$DG15))</f>
        <v/>
      </c>
      <c r="U15" s="70">
        <f>IF(INDEX('Final Calculation Sheet'!$T$4:$T$40,$DG15)="","",INDEX('Final Calculation Sheet'!$T$4:$T$40,$DG15))</f>
        <v/>
      </c>
      <c r="V15" s="73">
        <f>IF(INDEX('Final Calculation Sheet'!$U$4:$U$40,$DG15)="","",INDEX('Final Calculation Sheet'!$U$4:$U$40,$DG15))</f>
        <v/>
      </c>
      <c r="W15" s="70">
        <f>IF(INDEX('Final Calculation Sheet'!$V$4:$V$40,$DG15)="","",INDEX('Final Calculation Sheet'!$V$4:$V$40,$DG15))</f>
        <v/>
      </c>
      <c r="X15" s="70">
        <f>IF(INDEX('Final Calculation Sheet'!$W$4:$W$40,$DG15)="","",INDEX('Final Calculation Sheet'!$W$4:$W$40,$DG15))</f>
        <v/>
      </c>
      <c r="Y15" s="70">
        <f>IF(INDEX('Final Calculation Sheet'!$X$4:$X$40,$DG15)="","",INDEX('Final Calculation Sheet'!$X$4:$X$40,$DG15))</f>
        <v/>
      </c>
      <c r="Z15" s="70">
        <f>IF(INDEX('Final Calculation Sheet'!$Y$4:$Y$40,$DG15)="","",INDEX('Final Calculation Sheet'!$Y$4:$Y$40,$DG15))</f>
        <v/>
      </c>
      <c r="AA15" s="70">
        <f>IF(INDEX('Final Calculation Sheet'!$Z$4:$Z$40,$DG15)="","",INDEX('Final Calculation Sheet'!$Z$4:$Z$40,$DG15))</f>
        <v/>
      </c>
      <c r="AB15" s="70">
        <f>IF(INDEX('Final Calculation Sheet'!$AA$4:$AA$40,$DG15)="","",INDEX('Final Calculation Sheet'!$AA$4:$AA$40,$DG15))</f>
        <v/>
      </c>
      <c r="AC15" s="70">
        <f>IF(INDEX('Final Calculation Sheet'!$AB$4:$AB$40,$DG15)="","",INDEX('Final Calculation Sheet'!$AB$4:$AB$40,$DG15))</f>
        <v/>
      </c>
      <c r="AD15" s="70">
        <f>IF(INDEX('Final Calculation Sheet'!$AC$4:$AC$40,$DG15)="","",INDEX('Final Calculation Sheet'!$AC$4:$AC$40,$DG15))</f>
        <v/>
      </c>
      <c r="AE15" s="70">
        <f>IF(INDEX('Final Calculation Sheet'!$AD$4:$AD$40,$DG15)="","",INDEX('Final Calculation Sheet'!$AD$4:$AD$40,$DG15))</f>
        <v/>
      </c>
      <c r="AF15" s="75">
        <f>IF(INDEX('Final Calculation Sheet'!$AD$4:$AD$40,$DG15)="","",IF(INDEX('Final Calculation Sheet'!$AD$4:$AD$40,$DG15)&lt;=5,"SETTLED","OUTSTANDING"))</f>
        <v/>
      </c>
      <c r="AG15" s="70">
        <f>IF(INDEX('Final Calculation Sheet'!$AF$4:$AF$40,$DG15)="","",INDEX('Final Calculation Sheet'!$AF$4:$AF$40,$DG15))</f>
        <v/>
      </c>
      <c r="AH15" s="74">
        <f>IF(INDEX('Final Calculation Sheet'!$AG$4:$AG$40,$DG15)="","",INDEX('Final Calculation Sheet'!$AG$4:$AG$40,$DG15))</f>
        <v/>
      </c>
      <c r="AI15" s="70">
        <f>IF(INDEX('Final Calculation Sheet'!$AH$4:$AH$40,$DG15)="","",INDEX('Final Calculation Sheet'!$AH$4:$AH$40,$DG15))</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IF(AJ15,DD15,"")</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c r="DC15">
        <f>IF(COUNTA($B$4:$AI$4)=0,24,IF(AJ29,DE15,$DE$54+6-DE15))</f>
      </c>
      <c r="DD15">
        <f>DD14+IF(AJ15,1,0)</f>
      </c>
      <c r="DE15">
        <f>DE13+IF(AJ29,1,0)</f>
      </c>
      <c r="DF15">
        <v>24</v>
      </c>
      <c r="DG15">
        <f>IF(COUNTA($B$4:$AI$4)=0,24,INDEX($DF$6:$DF$55,MATCH(6,$DC$6:$DC$55,0)))</f>
      </c>
    </row>
    <row r="16" ht="15" customHeight="1" s="137">
      <c r="A16" s="81" t="inlineStr">
        <is>
          <t>∑</t>
        </is>
      </c>
      <c r="B16" s="83" t="n"/>
      <c r="C16" s="83">
        <f>ROWS($C$15:$C$15)&amp;" lot(s)"</f>
        <v/>
      </c>
      <c r="D16" s="83">
        <f>IF(COUNTA($B$4:$AI$4)=0,"SUBTOTAL — M I SCRAP TRADERS","SUBTOTAL — rows above")</f>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IF(AJ16,DD16,"")</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c r="DD16">
        <f>DD15+IF(AJ16,1,0)</f>
      </c>
    </row>
    <row r="17" outlineLevel="1" ht="15" customHeight="1" s="137">
      <c r="A17" s="67" t="n">
        <v>1</v>
      </c>
      <c r="B17" s="76">
        <f>IF(INDEX('Final Calculation Sheet'!$F$4:$F$40,$DG17)="","",INDEX('Final Calculation Sheet'!$F$4:$F$40,$DG17))</f>
        <v/>
      </c>
      <c r="C17" s="76">
        <f>IF(INDEX('Final Calculation Sheet'!$G$4:$G$40,$DG17)="","",INDEX('Final Calculation Sheet'!$G$4:$G$40,$DG17))</f>
        <v/>
      </c>
      <c r="D17" s="80">
        <f>IF(INDEX('Final Calculation Sheet'!$B$4:$B$40,$DG17)="","",INDEX('Final Calculation Sheet'!$B$4:$B$40,$DG17))</f>
        <v/>
      </c>
      <c r="E17" s="80">
        <f>IF(INDEX('Final Calculation Sheet'!$D$4:$D$40,$DG17)="","",INDEX('Final Calculation Sheet'!$D$4:$D$40,$DG17))</f>
        <v/>
      </c>
      <c r="F17" s="80">
        <f>IF(INDEX('Final Calculation Sheet'!$A$4:$A$40,$DG17)="","",INDEX('Final Calculation Sheet'!$A$4:$A$40,$DG17))</f>
        <v/>
      </c>
      <c r="G17" s="80">
        <f>IF(INDEX('Final Calculation Sheet'!$E$4:$E$40,$DG17)="","",INDEX('Final Calculation Sheet'!$E$4:$E$40,$DG17))</f>
        <v/>
      </c>
      <c r="H17" s="70">
        <f>IF(INDEX('Final Calculation Sheet'!$C$4:$C$40,$DG17)="","",INDEX('Final Calculation Sheet'!$C$4:$C$40,$DG17))</f>
        <v/>
      </c>
      <c r="I17" s="70">
        <f>IF(INDEX('Final Calculation Sheet'!$H$4:$H$40,$DG17)="","",INDEX('Final Calculation Sheet'!$H$4:$H$40,$DG17))</f>
        <v/>
      </c>
      <c r="J17" s="70">
        <f>IF(INDEX('Final Calculation Sheet'!$I$4:$I$40,$DG17)="","",INDEX('Final Calculation Sheet'!$I$4:$I$40,$DG17))</f>
        <v/>
      </c>
      <c r="K17" s="70">
        <f>IF(INDEX('Final Calculation Sheet'!$J$4:$J$40,$DG17)="","",INDEX('Final Calculation Sheet'!$J$4:$J$40,$DG17))</f>
        <v/>
      </c>
      <c r="L17" s="70">
        <f>IF(INDEX('Final Calculation Sheet'!$K$4:$K$40,$DG17)="","",INDEX('Final Calculation Sheet'!$K$4:$K$40,$DG17))</f>
        <v/>
      </c>
      <c r="M17" s="70">
        <f>IF(INDEX('Final Calculation Sheet'!$L$4:$L$40,$DG17)="","",INDEX('Final Calculation Sheet'!$L$4:$L$40,$DG17))</f>
        <v/>
      </c>
      <c r="N17" s="70">
        <f>IF(INDEX('Final Calculation Sheet'!$M$4:$M$40,$DG17)="","",INDEX('Final Calculation Sheet'!$M$4:$M$40,$DG17))</f>
        <v/>
      </c>
      <c r="O17" s="71">
        <f>IF(INDEX('Final Calculation Sheet'!$N$4:$N$40,$DG17)="","",INDEX('Final Calculation Sheet'!$N$4:$N$40,$DG17))</f>
        <v/>
      </c>
      <c r="P17" s="70">
        <f>IF(INDEX('Final Calculation Sheet'!$O$4:$O$40,$DG17)="","",INDEX('Final Calculation Sheet'!$O$4:$O$40,$DG17))</f>
        <v/>
      </c>
      <c r="Q17" s="70">
        <f>IF(INDEX('Final Calculation Sheet'!$P$4:$P$40,$DG17)="","",INDEX('Final Calculation Sheet'!$P$4:$P$40,$DG17))</f>
        <v/>
      </c>
      <c r="R17" s="72">
        <f>IF(INDEX('Final Calculation Sheet'!$Q$4:$Q$40,$DG17)="","",INDEX('Final Calculation Sheet'!$Q$4:$Q$40,$DG17))</f>
        <v/>
      </c>
      <c r="S17" s="70">
        <f>IF(INDEX('Final Calculation Sheet'!$R$4:$R$40,$DG17)="","",INDEX('Final Calculation Sheet'!$R$4:$R$40,$DG17))</f>
        <v/>
      </c>
      <c r="T17" s="70">
        <f>IF(INDEX('Final Calculation Sheet'!$S$4:$S$40,$DG17)="","",INDEX('Final Calculation Sheet'!$S$4:$S$40,$DG17))</f>
        <v/>
      </c>
      <c r="U17" s="70">
        <f>IF(INDEX('Final Calculation Sheet'!$T$4:$T$40,$DG17)="","",INDEX('Final Calculation Sheet'!$T$4:$T$40,$DG17))</f>
        <v/>
      </c>
      <c r="V17" s="73">
        <f>IF(INDEX('Final Calculation Sheet'!$U$4:$U$40,$DG17)="","",INDEX('Final Calculation Sheet'!$U$4:$U$40,$DG17))</f>
        <v/>
      </c>
      <c r="W17" s="70">
        <f>IF(INDEX('Final Calculation Sheet'!$V$4:$V$40,$DG17)="","",INDEX('Final Calculation Sheet'!$V$4:$V$40,$DG17))</f>
        <v/>
      </c>
      <c r="X17" s="70">
        <f>IF(INDEX('Final Calculation Sheet'!$W$4:$W$40,$DG17)="","",INDEX('Final Calculation Sheet'!$W$4:$W$40,$DG17))</f>
        <v/>
      </c>
      <c r="Y17" s="70">
        <f>IF(INDEX('Final Calculation Sheet'!$X$4:$X$40,$DG17)="","",INDEX('Final Calculation Sheet'!$X$4:$X$40,$DG17))</f>
        <v/>
      </c>
      <c r="Z17" s="70">
        <f>IF(INDEX('Final Calculation Sheet'!$Y$4:$Y$40,$DG17)="","",INDEX('Final Calculation Sheet'!$Y$4:$Y$40,$DG17))</f>
        <v/>
      </c>
      <c r="AA17" s="70">
        <f>IF(INDEX('Final Calculation Sheet'!$Z$4:$Z$40,$DG17)="","",INDEX('Final Calculation Sheet'!$Z$4:$Z$40,$DG17))</f>
        <v/>
      </c>
      <c r="AB17" s="70">
        <f>IF(INDEX('Final Calculation Sheet'!$AA$4:$AA$40,$DG17)="","",INDEX('Final Calculation Sheet'!$AA$4:$AA$40,$DG17))</f>
        <v/>
      </c>
      <c r="AC17" s="70">
        <f>IF(INDEX('Final Calculation Sheet'!$AB$4:$AB$40,$DG17)="","",INDEX('Final Calculation Sheet'!$AB$4:$AB$40,$DG17))</f>
        <v/>
      </c>
      <c r="AD17" s="70">
        <f>IF(INDEX('Final Calculation Sheet'!$AC$4:$AC$40,$DG17)="","",INDEX('Final Calculation Sheet'!$AC$4:$AC$40,$DG17))</f>
        <v/>
      </c>
      <c r="AE17" s="70">
        <f>IF(INDEX('Final Calculation Sheet'!$AD$4:$AD$40,$DG17)="","",INDEX('Final Calculation Sheet'!$AD$4:$AD$40,$DG17))</f>
        <v/>
      </c>
      <c r="AF17" s="75">
        <f>IF(INDEX('Final Calculation Sheet'!$AD$4:$AD$40,$DG17)="","",IF(INDEX('Final Calculation Sheet'!$AD$4:$AD$40,$DG17)&lt;=5,"SETTLED","OUTSTANDING"))</f>
        <v/>
      </c>
      <c r="AG17" s="70">
        <f>IF(INDEX('Final Calculation Sheet'!$AF$4:$AF$40,$DG17)="","",INDEX('Final Calculation Sheet'!$AF$4:$AF$40,$DG17))</f>
        <v/>
      </c>
      <c r="AH17" s="74">
        <f>IF(INDEX('Final Calculation Sheet'!$AG$4:$AG$40,$DG17)="","",INDEX('Final Calculation Sheet'!$AG$4:$AG$40,$DG17))</f>
        <v/>
      </c>
      <c r="AI17" s="70">
        <f>IF(INDEX('Final Calculation Sheet'!$AH$4:$AH$40,$DG17)="","",INDEX('Final Calculation Sheet'!$AH$4:$AH$40,$DG17))</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IF(AJ17,DD17,"")</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c r="DC17">
        <f>IF(COUNTA($B$4:$AI$4)=0,2,IF(AJ7,DE17,$DE$54+7-DE17))</f>
      </c>
      <c r="DD17">
        <f>DD16+IF(AJ17,1,0)</f>
      </c>
      <c r="DE17">
        <f>DE15+IF(AJ7,1,0)</f>
      </c>
      <c r="DF17">
        <v>2</v>
      </c>
      <c r="DG17">
        <f>IF(COUNTA($B$4:$AI$4)=0,2,INDEX($DF$6:$DF$55,MATCH(7,$DC$6:$DC$55,0)))</f>
      </c>
    </row>
    <row r="18" outlineLevel="1" ht="15" customHeight="1" s="137">
      <c r="A18" s="90" t="n">
        <v>2</v>
      </c>
      <c r="B18" s="92">
        <f>IF(INDEX('Final Calculation Sheet'!$F$4:$F$40,$DG18)="","",INDEX('Final Calculation Sheet'!$F$4:$F$40,$DG18))</f>
        <v/>
      </c>
      <c r="C18" s="92">
        <f>IF(INDEX('Final Calculation Sheet'!$G$4:$G$40,$DG18)="","",INDEX('Final Calculation Sheet'!$G$4:$G$40,$DG18))</f>
        <v/>
      </c>
      <c r="D18" s="94">
        <f>IF(INDEX('Final Calculation Sheet'!$B$4:$B$40,$DG18)="","",INDEX('Final Calculation Sheet'!$B$4:$B$40,$DG18))</f>
        <v/>
      </c>
      <c r="E18" s="94">
        <f>IF(INDEX('Final Calculation Sheet'!$D$4:$D$40,$DG18)="","",INDEX('Final Calculation Sheet'!$D$4:$D$40,$DG18))</f>
        <v/>
      </c>
      <c r="F18" s="94">
        <f>IF(INDEX('Final Calculation Sheet'!$A$4:$A$40,$DG18)="","",INDEX('Final Calculation Sheet'!$A$4:$A$40,$DG18))</f>
        <v/>
      </c>
      <c r="G18" s="94">
        <f>IF(INDEX('Final Calculation Sheet'!$E$4:$E$40,$DG18)="","",INDEX('Final Calculation Sheet'!$E$4:$E$40,$DG18))</f>
        <v/>
      </c>
      <c r="H18" s="95">
        <f>IF(INDEX('Final Calculation Sheet'!$C$4:$C$40,$DG18)="","",INDEX('Final Calculation Sheet'!$C$4:$C$40,$DG18))</f>
        <v/>
      </c>
      <c r="I18" s="95">
        <f>IF(INDEX('Final Calculation Sheet'!$H$4:$H$40,$DG18)="","",INDEX('Final Calculation Sheet'!$H$4:$H$40,$DG18))</f>
        <v/>
      </c>
      <c r="J18" s="95">
        <f>IF(INDEX('Final Calculation Sheet'!$I$4:$I$40,$DG18)="","",INDEX('Final Calculation Sheet'!$I$4:$I$40,$DG18))</f>
        <v/>
      </c>
      <c r="K18" s="95">
        <f>IF(INDEX('Final Calculation Sheet'!$J$4:$J$40,$DG18)="","",INDEX('Final Calculation Sheet'!$J$4:$J$40,$DG18))</f>
        <v/>
      </c>
      <c r="L18" s="95">
        <f>IF(INDEX('Final Calculation Sheet'!$K$4:$K$40,$DG18)="","",INDEX('Final Calculation Sheet'!$K$4:$K$40,$DG18))</f>
        <v/>
      </c>
      <c r="M18" s="95">
        <f>IF(INDEX('Final Calculation Sheet'!$L$4:$L$40,$DG18)="","",INDEX('Final Calculation Sheet'!$L$4:$L$40,$DG18))</f>
        <v/>
      </c>
      <c r="N18" s="95">
        <f>IF(INDEX('Final Calculation Sheet'!$M$4:$M$40,$DG18)="","",INDEX('Final Calculation Sheet'!$M$4:$M$40,$DG18))</f>
        <v/>
      </c>
      <c r="O18" s="96">
        <f>IF(INDEX('Final Calculation Sheet'!$N$4:$N$40,$DG18)="","",INDEX('Final Calculation Sheet'!$N$4:$N$40,$DG18))</f>
        <v/>
      </c>
      <c r="P18" s="95">
        <f>IF(INDEX('Final Calculation Sheet'!$O$4:$O$40,$DG18)="","",INDEX('Final Calculation Sheet'!$O$4:$O$40,$DG18))</f>
        <v/>
      </c>
      <c r="Q18" s="95">
        <f>IF(INDEX('Final Calculation Sheet'!$P$4:$P$40,$DG18)="","",INDEX('Final Calculation Sheet'!$P$4:$P$40,$DG18))</f>
        <v/>
      </c>
      <c r="R18" s="97">
        <f>IF(INDEX('Final Calculation Sheet'!$Q$4:$Q$40,$DG18)="","",INDEX('Final Calculation Sheet'!$Q$4:$Q$40,$DG18))</f>
        <v/>
      </c>
      <c r="S18" s="95">
        <f>IF(INDEX('Final Calculation Sheet'!$R$4:$R$40,$DG18)="","",INDEX('Final Calculation Sheet'!$R$4:$R$40,$DG18))</f>
        <v/>
      </c>
      <c r="T18" s="95">
        <f>IF(INDEX('Final Calculation Sheet'!$S$4:$S$40,$DG18)="","",INDEX('Final Calculation Sheet'!$S$4:$S$40,$DG18))</f>
        <v/>
      </c>
      <c r="U18" s="95">
        <f>IF(INDEX('Final Calculation Sheet'!$T$4:$T$40,$DG18)="","",INDEX('Final Calculation Sheet'!$T$4:$T$40,$DG18))</f>
        <v/>
      </c>
      <c r="V18" s="98">
        <f>IF(INDEX('Final Calculation Sheet'!$U$4:$U$40,$DG18)="","",INDEX('Final Calculation Sheet'!$U$4:$U$40,$DG18))</f>
        <v/>
      </c>
      <c r="W18" s="95">
        <f>IF(INDEX('Final Calculation Sheet'!$V$4:$V$40,$DG18)="","",INDEX('Final Calculation Sheet'!$V$4:$V$40,$DG18))</f>
        <v/>
      </c>
      <c r="X18" s="95">
        <f>IF(INDEX('Final Calculation Sheet'!$W$4:$W$40,$DG18)="","",INDEX('Final Calculation Sheet'!$W$4:$W$40,$DG18))</f>
        <v/>
      </c>
      <c r="Y18" s="95">
        <f>IF(INDEX('Final Calculation Sheet'!$X$4:$X$40,$DG18)="","",INDEX('Final Calculation Sheet'!$X$4:$X$40,$DG18))</f>
        <v/>
      </c>
      <c r="Z18" s="95">
        <f>IF(INDEX('Final Calculation Sheet'!$Y$4:$Y$40,$DG18)="","",INDEX('Final Calculation Sheet'!$Y$4:$Y$40,$DG18))</f>
        <v/>
      </c>
      <c r="AA18" s="95">
        <f>IF(INDEX('Final Calculation Sheet'!$Z$4:$Z$40,$DG18)="","",INDEX('Final Calculation Sheet'!$Z$4:$Z$40,$DG18))</f>
        <v/>
      </c>
      <c r="AB18" s="95">
        <f>IF(INDEX('Final Calculation Sheet'!$AA$4:$AA$40,$DG18)="","",INDEX('Final Calculation Sheet'!$AA$4:$AA$40,$DG18))</f>
        <v/>
      </c>
      <c r="AC18" s="95">
        <f>IF(INDEX('Final Calculation Sheet'!$AB$4:$AB$40,$DG18)="","",INDEX('Final Calculation Sheet'!$AB$4:$AB$40,$DG18))</f>
        <v/>
      </c>
      <c r="AD18" s="95">
        <f>IF(INDEX('Final Calculation Sheet'!$AC$4:$AC$40,$DG18)="","",INDEX('Final Calculation Sheet'!$AC$4:$AC$40,$DG18))</f>
        <v/>
      </c>
      <c r="AE18" s="95">
        <f>IF(INDEX('Final Calculation Sheet'!$AD$4:$AD$40,$DG18)="","",INDEX('Final Calculation Sheet'!$AD$4:$AD$40,$DG18))</f>
        <v/>
      </c>
      <c r="AF18" s="100">
        <f>IF(INDEX('Final Calculation Sheet'!$AD$4:$AD$40,$DG18)="","",IF(INDEX('Final Calculation Sheet'!$AD$4:$AD$40,$DG18)&lt;=5,"SETTLED","OUTSTANDING"))</f>
        <v/>
      </c>
      <c r="AG18" s="95">
        <f>IF(INDEX('Final Calculation Sheet'!$AF$4:$AF$40,$DG18)="","",INDEX('Final Calculation Sheet'!$AF$4:$AF$40,$DG18))</f>
        <v/>
      </c>
      <c r="AH18" s="99">
        <f>IF(INDEX('Final Calculation Sheet'!$AG$4:$AG$40,$DG18)="","",INDEX('Final Calculation Sheet'!$AG$4:$AG$40,$DG18))</f>
        <v/>
      </c>
      <c r="AI18" s="95">
        <f>IF(INDEX('Final Calculation Sheet'!$AH$4:$AH$40,$DG18)="","",INDEX('Final Calculation Sheet'!$AH$4:$AH$40,$DG18))</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IF(AJ18,DD18,"")</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c r="DC18">
        <f>IF(COUNTA($B$4:$AI$4)=0,7,IF(AJ12,DE18,$DE$54+8-DE18))</f>
      </c>
      <c r="DD18">
        <f>DD17+IF(AJ18,1,0)</f>
      </c>
      <c r="DE18">
        <f>DE17+IF(AJ12,1,0)</f>
      </c>
      <c r="DF18">
        <v>7</v>
      </c>
      <c r="DG18">
        <f>IF(COUNTA($B$4:$AI$4)=0,7,INDEX($DF$6:$DF$55,MATCH(8,$DC$6:$DC$55,0)))</f>
      </c>
    </row>
    <row r="19" outlineLevel="1" ht="15" customHeight="1" s="137">
      <c r="A19" s="67" t="n">
        <v>3</v>
      </c>
      <c r="B19" s="76">
        <f>IF(INDEX('Final Calculation Sheet'!$F$4:$F$40,$DG19)="","",INDEX('Final Calculation Sheet'!$F$4:$F$40,$DG19))</f>
        <v/>
      </c>
      <c r="C19" s="76">
        <f>IF(INDEX('Final Calculation Sheet'!$G$4:$G$40,$DG19)="","",INDEX('Final Calculation Sheet'!$G$4:$G$40,$DG19))</f>
        <v/>
      </c>
      <c r="D19" s="80">
        <f>IF(INDEX('Final Calculation Sheet'!$B$4:$B$40,$DG19)="","",INDEX('Final Calculation Sheet'!$B$4:$B$40,$DG19))</f>
        <v/>
      </c>
      <c r="E19" s="80">
        <f>IF(INDEX('Final Calculation Sheet'!$D$4:$D$40,$DG19)="","",INDEX('Final Calculation Sheet'!$D$4:$D$40,$DG19))</f>
        <v/>
      </c>
      <c r="F19" s="80">
        <f>IF(INDEX('Final Calculation Sheet'!$A$4:$A$40,$DG19)="","",INDEX('Final Calculation Sheet'!$A$4:$A$40,$DG19))</f>
        <v/>
      </c>
      <c r="G19" s="80">
        <f>IF(INDEX('Final Calculation Sheet'!$E$4:$E$40,$DG19)="","",INDEX('Final Calculation Sheet'!$E$4:$E$40,$DG19))</f>
        <v/>
      </c>
      <c r="H19" s="70">
        <f>IF(INDEX('Final Calculation Sheet'!$C$4:$C$40,$DG19)="","",INDEX('Final Calculation Sheet'!$C$4:$C$40,$DG19))</f>
        <v/>
      </c>
      <c r="I19" s="70">
        <f>IF(INDEX('Final Calculation Sheet'!$H$4:$H$40,$DG19)="","",INDEX('Final Calculation Sheet'!$H$4:$H$40,$DG19))</f>
        <v/>
      </c>
      <c r="J19" s="70">
        <f>IF(INDEX('Final Calculation Sheet'!$I$4:$I$40,$DG19)="","",INDEX('Final Calculation Sheet'!$I$4:$I$40,$DG19))</f>
        <v/>
      </c>
      <c r="K19" s="70">
        <f>IF(INDEX('Final Calculation Sheet'!$J$4:$J$40,$DG19)="","",INDEX('Final Calculation Sheet'!$J$4:$J$40,$DG19))</f>
        <v/>
      </c>
      <c r="L19" s="70">
        <f>IF(INDEX('Final Calculation Sheet'!$K$4:$K$40,$DG19)="","",INDEX('Final Calculation Sheet'!$K$4:$K$40,$DG19))</f>
        <v/>
      </c>
      <c r="M19" s="70">
        <f>IF(INDEX('Final Calculation Sheet'!$L$4:$L$40,$DG19)="","",INDEX('Final Calculation Sheet'!$L$4:$L$40,$DG19))</f>
        <v/>
      </c>
      <c r="N19" s="70">
        <f>IF(INDEX('Final Calculation Sheet'!$M$4:$M$40,$DG19)="","",INDEX('Final Calculation Sheet'!$M$4:$M$40,$DG19))</f>
        <v/>
      </c>
      <c r="O19" s="71">
        <f>IF(INDEX('Final Calculation Sheet'!$N$4:$N$40,$DG19)="","",INDEX('Final Calculation Sheet'!$N$4:$N$40,$DG19))</f>
        <v/>
      </c>
      <c r="P19" s="70">
        <f>IF(INDEX('Final Calculation Sheet'!$O$4:$O$40,$DG19)="","",INDEX('Final Calculation Sheet'!$O$4:$O$40,$DG19))</f>
        <v/>
      </c>
      <c r="Q19" s="70">
        <f>IF(INDEX('Final Calculation Sheet'!$P$4:$P$40,$DG19)="","",INDEX('Final Calculation Sheet'!$P$4:$P$40,$DG19))</f>
        <v/>
      </c>
      <c r="R19" s="72">
        <f>IF(INDEX('Final Calculation Sheet'!$Q$4:$Q$40,$DG19)="","",INDEX('Final Calculation Sheet'!$Q$4:$Q$40,$DG19))</f>
        <v/>
      </c>
      <c r="S19" s="70">
        <f>IF(INDEX('Final Calculation Sheet'!$R$4:$R$40,$DG19)="","",INDEX('Final Calculation Sheet'!$R$4:$R$40,$DG19))</f>
        <v/>
      </c>
      <c r="T19" s="70">
        <f>IF(INDEX('Final Calculation Sheet'!$S$4:$S$40,$DG19)="","",INDEX('Final Calculation Sheet'!$S$4:$S$40,$DG19))</f>
        <v/>
      </c>
      <c r="U19" s="70">
        <f>IF(INDEX('Final Calculation Sheet'!$T$4:$T$40,$DG19)="","",INDEX('Final Calculation Sheet'!$T$4:$T$40,$DG19))</f>
        <v/>
      </c>
      <c r="V19" s="73">
        <f>IF(INDEX('Final Calculation Sheet'!$U$4:$U$40,$DG19)="","",INDEX('Final Calculation Sheet'!$U$4:$U$40,$DG19))</f>
        <v/>
      </c>
      <c r="W19" s="70">
        <f>IF(INDEX('Final Calculation Sheet'!$V$4:$V$40,$DG19)="","",INDEX('Final Calculation Sheet'!$V$4:$V$40,$DG19))</f>
        <v/>
      </c>
      <c r="X19" s="70">
        <f>IF(INDEX('Final Calculation Sheet'!$W$4:$W$40,$DG19)="","",INDEX('Final Calculation Sheet'!$W$4:$W$40,$DG19))</f>
        <v/>
      </c>
      <c r="Y19" s="70">
        <f>IF(INDEX('Final Calculation Sheet'!$X$4:$X$40,$DG19)="","",INDEX('Final Calculation Sheet'!$X$4:$X$40,$DG19))</f>
        <v/>
      </c>
      <c r="Z19" s="70">
        <f>IF(INDEX('Final Calculation Sheet'!$Y$4:$Y$40,$DG19)="","",INDEX('Final Calculation Sheet'!$Y$4:$Y$40,$DG19))</f>
        <v/>
      </c>
      <c r="AA19" s="70">
        <f>IF(INDEX('Final Calculation Sheet'!$Z$4:$Z$40,$DG19)="","",INDEX('Final Calculation Sheet'!$Z$4:$Z$40,$DG19))</f>
        <v/>
      </c>
      <c r="AB19" s="70">
        <f>IF(INDEX('Final Calculation Sheet'!$AA$4:$AA$40,$DG19)="","",INDEX('Final Calculation Sheet'!$AA$4:$AA$40,$DG19))</f>
        <v/>
      </c>
      <c r="AC19" s="70">
        <f>IF(INDEX('Final Calculation Sheet'!$AB$4:$AB$40,$DG19)="","",INDEX('Final Calculation Sheet'!$AB$4:$AB$40,$DG19))</f>
        <v/>
      </c>
      <c r="AD19" s="70">
        <f>IF(INDEX('Final Calculation Sheet'!$AC$4:$AC$40,$DG19)="","",INDEX('Final Calculation Sheet'!$AC$4:$AC$40,$DG19))</f>
        <v/>
      </c>
      <c r="AE19" s="70">
        <f>IF(INDEX('Final Calculation Sheet'!$AD$4:$AD$40,$DG19)="","",INDEX('Final Calculation Sheet'!$AD$4:$AD$40,$DG19))</f>
        <v/>
      </c>
      <c r="AF19" s="75">
        <f>IF(INDEX('Final Calculation Sheet'!$AD$4:$AD$40,$DG19)="","",IF(INDEX('Final Calculation Sheet'!$AD$4:$AD$40,$DG19)&lt;=5,"SETTLED","OUTSTANDING"))</f>
        <v/>
      </c>
      <c r="AG19" s="70">
        <f>IF(INDEX('Final Calculation Sheet'!$AF$4:$AF$40,$DG19)="","",INDEX('Final Calculation Sheet'!$AF$4:$AF$40,$DG19))</f>
        <v/>
      </c>
      <c r="AH19" s="74">
        <f>IF(INDEX('Final Calculation Sheet'!$AG$4:$AG$40,$DG19)="","",INDEX('Final Calculation Sheet'!$AG$4:$AG$40,$DG19))</f>
        <v/>
      </c>
      <c r="AI19" s="70">
        <f>IF(INDEX('Final Calculation Sheet'!$AH$4:$AH$40,$DG19)="","",INDEX('Final Calculation Sheet'!$AH$4:$AH$40,$DG19))</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IF(AJ19,DD19,"")</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c r="DC19">
        <f>IF(COUNTA($B$4:$AI$4)=0,8,IF(AJ13,DE19,$DE$54+9-DE19))</f>
      </c>
      <c r="DD19">
        <f>DD18+IF(AJ19,1,0)</f>
      </c>
      <c r="DE19">
        <f>DE18+IF(AJ13,1,0)</f>
      </c>
      <c r="DF19">
        <v>8</v>
      </c>
      <c r="DG19">
        <f>IF(COUNTA($B$4:$AI$4)=0,8,INDEX($DF$6:$DF$55,MATCH(9,$DC$6:$DC$55,0)))</f>
      </c>
    </row>
    <row r="20" outlineLevel="1" ht="15" customHeight="1" s="137">
      <c r="A20" s="90" t="n">
        <v>4</v>
      </c>
      <c r="B20" s="92">
        <f>IF(INDEX('Final Calculation Sheet'!$F$4:$F$40,$DG20)="","",INDEX('Final Calculation Sheet'!$F$4:$F$40,$DG20))</f>
        <v/>
      </c>
      <c r="C20" s="92">
        <f>IF(INDEX('Final Calculation Sheet'!$G$4:$G$40,$DG20)="","",INDEX('Final Calculation Sheet'!$G$4:$G$40,$DG20))</f>
        <v/>
      </c>
      <c r="D20" s="94">
        <f>IF(INDEX('Final Calculation Sheet'!$B$4:$B$40,$DG20)="","",INDEX('Final Calculation Sheet'!$B$4:$B$40,$DG20))</f>
        <v/>
      </c>
      <c r="E20" s="94">
        <f>IF(INDEX('Final Calculation Sheet'!$D$4:$D$40,$DG20)="","",INDEX('Final Calculation Sheet'!$D$4:$D$40,$DG20))</f>
        <v/>
      </c>
      <c r="F20" s="94">
        <f>IF(INDEX('Final Calculation Sheet'!$A$4:$A$40,$DG20)="","",INDEX('Final Calculation Sheet'!$A$4:$A$40,$DG20))</f>
        <v/>
      </c>
      <c r="G20" s="94">
        <f>IF(INDEX('Final Calculation Sheet'!$E$4:$E$40,$DG20)="","",INDEX('Final Calculation Sheet'!$E$4:$E$40,$DG20))</f>
        <v/>
      </c>
      <c r="H20" s="95">
        <f>IF(INDEX('Final Calculation Sheet'!$C$4:$C$40,$DG20)="","",INDEX('Final Calculation Sheet'!$C$4:$C$40,$DG20))</f>
        <v/>
      </c>
      <c r="I20" s="95">
        <f>IF(INDEX('Final Calculation Sheet'!$H$4:$H$40,$DG20)="","",INDEX('Final Calculation Sheet'!$H$4:$H$40,$DG20))</f>
        <v/>
      </c>
      <c r="J20" s="95">
        <f>IF(INDEX('Final Calculation Sheet'!$I$4:$I$40,$DG20)="","",INDEX('Final Calculation Sheet'!$I$4:$I$40,$DG20))</f>
        <v/>
      </c>
      <c r="K20" s="95">
        <f>IF(INDEX('Final Calculation Sheet'!$J$4:$J$40,$DG20)="","",INDEX('Final Calculation Sheet'!$J$4:$J$40,$DG20))</f>
        <v/>
      </c>
      <c r="L20" s="95">
        <f>IF(INDEX('Final Calculation Sheet'!$K$4:$K$40,$DG20)="","",INDEX('Final Calculation Sheet'!$K$4:$K$40,$DG20))</f>
        <v/>
      </c>
      <c r="M20" s="95">
        <f>IF(INDEX('Final Calculation Sheet'!$L$4:$L$40,$DG20)="","",INDEX('Final Calculation Sheet'!$L$4:$L$40,$DG20))</f>
        <v/>
      </c>
      <c r="N20" s="95">
        <f>IF(INDEX('Final Calculation Sheet'!$M$4:$M$40,$DG20)="","",INDEX('Final Calculation Sheet'!$M$4:$M$40,$DG20))</f>
        <v/>
      </c>
      <c r="O20" s="96">
        <f>IF(INDEX('Final Calculation Sheet'!$N$4:$N$40,$DG20)="","",INDEX('Final Calculation Sheet'!$N$4:$N$40,$DG20))</f>
        <v/>
      </c>
      <c r="P20" s="95">
        <f>IF(INDEX('Final Calculation Sheet'!$O$4:$O$40,$DG20)="","",INDEX('Final Calculation Sheet'!$O$4:$O$40,$DG20))</f>
        <v/>
      </c>
      <c r="Q20" s="95">
        <f>IF(INDEX('Final Calculation Sheet'!$P$4:$P$40,$DG20)="","",INDEX('Final Calculation Sheet'!$P$4:$P$40,$DG20))</f>
        <v/>
      </c>
      <c r="R20" s="97">
        <f>IF(INDEX('Final Calculation Sheet'!$Q$4:$Q$40,$DG20)="","",INDEX('Final Calculation Sheet'!$Q$4:$Q$40,$DG20))</f>
        <v/>
      </c>
      <c r="S20" s="95">
        <f>IF(INDEX('Final Calculation Sheet'!$R$4:$R$40,$DG20)="","",INDEX('Final Calculation Sheet'!$R$4:$R$40,$DG20))</f>
        <v/>
      </c>
      <c r="T20" s="95">
        <f>IF(INDEX('Final Calculation Sheet'!$S$4:$S$40,$DG20)="","",INDEX('Final Calculation Sheet'!$S$4:$S$40,$DG20))</f>
        <v/>
      </c>
      <c r="U20" s="95">
        <f>IF(INDEX('Final Calculation Sheet'!$T$4:$T$40,$DG20)="","",INDEX('Final Calculation Sheet'!$T$4:$T$40,$DG20))</f>
        <v/>
      </c>
      <c r="V20" s="98">
        <f>IF(INDEX('Final Calculation Sheet'!$U$4:$U$40,$DG20)="","",INDEX('Final Calculation Sheet'!$U$4:$U$40,$DG20))</f>
        <v/>
      </c>
      <c r="W20" s="95">
        <f>IF(INDEX('Final Calculation Sheet'!$V$4:$V$40,$DG20)="","",INDEX('Final Calculation Sheet'!$V$4:$V$40,$DG20))</f>
        <v/>
      </c>
      <c r="X20" s="95">
        <f>IF(INDEX('Final Calculation Sheet'!$W$4:$W$40,$DG20)="","",INDEX('Final Calculation Sheet'!$W$4:$W$40,$DG20))</f>
        <v/>
      </c>
      <c r="Y20" s="95">
        <f>IF(INDEX('Final Calculation Sheet'!$X$4:$X$40,$DG20)="","",INDEX('Final Calculation Sheet'!$X$4:$X$40,$DG20))</f>
        <v/>
      </c>
      <c r="Z20" s="95">
        <f>IF(INDEX('Final Calculation Sheet'!$Y$4:$Y$40,$DG20)="","",INDEX('Final Calculation Sheet'!$Y$4:$Y$40,$DG20))</f>
        <v/>
      </c>
      <c r="AA20" s="95">
        <f>IF(INDEX('Final Calculation Sheet'!$Z$4:$Z$40,$DG20)="","",INDEX('Final Calculation Sheet'!$Z$4:$Z$40,$DG20))</f>
        <v/>
      </c>
      <c r="AB20" s="95">
        <f>IF(INDEX('Final Calculation Sheet'!$AA$4:$AA$40,$DG20)="","",INDEX('Final Calculation Sheet'!$AA$4:$AA$40,$DG20))</f>
        <v/>
      </c>
      <c r="AC20" s="95">
        <f>IF(INDEX('Final Calculation Sheet'!$AB$4:$AB$40,$DG20)="","",INDEX('Final Calculation Sheet'!$AB$4:$AB$40,$DG20))</f>
        <v/>
      </c>
      <c r="AD20" s="95">
        <f>IF(INDEX('Final Calculation Sheet'!$AC$4:$AC$40,$DG20)="","",INDEX('Final Calculation Sheet'!$AC$4:$AC$40,$DG20))</f>
        <v/>
      </c>
      <c r="AE20" s="95">
        <f>IF(INDEX('Final Calculation Sheet'!$AD$4:$AD$40,$DG20)="","",INDEX('Final Calculation Sheet'!$AD$4:$AD$40,$DG20))</f>
        <v/>
      </c>
      <c r="AF20" s="100">
        <f>IF(INDEX('Final Calculation Sheet'!$AD$4:$AD$40,$DG20)="","",IF(INDEX('Final Calculation Sheet'!$AD$4:$AD$40,$DG20)&lt;=5,"SETTLED","OUTSTANDING"))</f>
        <v/>
      </c>
      <c r="AG20" s="95">
        <f>IF(INDEX('Final Calculation Sheet'!$AF$4:$AF$40,$DG20)="","",INDEX('Final Calculation Sheet'!$AF$4:$AF$40,$DG20))</f>
        <v/>
      </c>
      <c r="AH20" s="99">
        <f>IF(INDEX('Final Calculation Sheet'!$AG$4:$AG$40,$DG20)="","",INDEX('Final Calculation Sheet'!$AG$4:$AG$40,$DG20))</f>
        <v/>
      </c>
      <c r="AI20" s="95">
        <f>IF(INDEX('Final Calculation Sheet'!$AH$4:$AH$40,$DG20)="","",INDEX('Final Calculation Sheet'!$AH$4:$AH$40,$DG20))</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IF(AJ20,DD20,"")</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c r="DC20">
        <f>IF(COUNTA($B$4:$AI$4)=0,9,IF(AJ14,DE20,$DE$54+10-DE20))</f>
      </c>
      <c r="DD20">
        <f>DD19+IF(AJ20,1,0)</f>
      </c>
      <c r="DE20">
        <f>DE19+IF(AJ14,1,0)</f>
      </c>
      <c r="DF20">
        <v>9</v>
      </c>
      <c r="DG20">
        <f>IF(COUNTA($B$4:$AI$4)=0,9,INDEX($DF$6:$DF$55,MATCH(10,$DC$6:$DC$55,0)))</f>
      </c>
    </row>
    <row r="21" outlineLevel="1" ht="15" customHeight="1" s="137">
      <c r="A21" s="67" t="n">
        <v>5</v>
      </c>
      <c r="B21" s="76">
        <f>IF(INDEX('Final Calculation Sheet'!$F$4:$F$40,$DG21)="","",INDEX('Final Calculation Sheet'!$F$4:$F$40,$DG21))</f>
        <v/>
      </c>
      <c r="C21" s="76">
        <f>IF(INDEX('Final Calculation Sheet'!$G$4:$G$40,$DG21)="","",INDEX('Final Calculation Sheet'!$G$4:$G$40,$DG21))</f>
        <v/>
      </c>
      <c r="D21" s="80">
        <f>IF(INDEX('Final Calculation Sheet'!$B$4:$B$40,$DG21)="","",INDEX('Final Calculation Sheet'!$B$4:$B$40,$DG21))</f>
        <v/>
      </c>
      <c r="E21" s="80">
        <f>IF(INDEX('Final Calculation Sheet'!$D$4:$D$40,$DG21)="","",INDEX('Final Calculation Sheet'!$D$4:$D$40,$DG21))</f>
        <v/>
      </c>
      <c r="F21" s="80">
        <f>IF(INDEX('Final Calculation Sheet'!$A$4:$A$40,$DG21)="","",INDEX('Final Calculation Sheet'!$A$4:$A$40,$DG21))</f>
        <v/>
      </c>
      <c r="G21" s="80">
        <f>IF(INDEX('Final Calculation Sheet'!$E$4:$E$40,$DG21)="","",INDEX('Final Calculation Sheet'!$E$4:$E$40,$DG21))</f>
        <v/>
      </c>
      <c r="H21" s="70">
        <f>IF(INDEX('Final Calculation Sheet'!$C$4:$C$40,$DG21)="","",INDEX('Final Calculation Sheet'!$C$4:$C$40,$DG21))</f>
        <v/>
      </c>
      <c r="I21" s="70">
        <f>IF(INDEX('Final Calculation Sheet'!$H$4:$H$40,$DG21)="","",INDEX('Final Calculation Sheet'!$H$4:$H$40,$DG21))</f>
        <v/>
      </c>
      <c r="J21" s="70">
        <f>IF(INDEX('Final Calculation Sheet'!$I$4:$I$40,$DG21)="","",INDEX('Final Calculation Sheet'!$I$4:$I$40,$DG21))</f>
        <v/>
      </c>
      <c r="K21" s="70">
        <f>IF(INDEX('Final Calculation Sheet'!$J$4:$J$40,$DG21)="","",INDEX('Final Calculation Sheet'!$J$4:$J$40,$DG21))</f>
        <v/>
      </c>
      <c r="L21" s="70">
        <f>IF(INDEX('Final Calculation Sheet'!$K$4:$K$40,$DG21)="","",INDEX('Final Calculation Sheet'!$K$4:$K$40,$DG21))</f>
        <v/>
      </c>
      <c r="M21" s="70">
        <f>IF(INDEX('Final Calculation Sheet'!$L$4:$L$40,$DG21)="","",INDEX('Final Calculation Sheet'!$L$4:$L$40,$DG21))</f>
        <v/>
      </c>
      <c r="N21" s="70">
        <f>IF(INDEX('Final Calculation Sheet'!$M$4:$M$40,$DG21)="","",INDEX('Final Calculation Sheet'!$M$4:$M$40,$DG21))</f>
        <v/>
      </c>
      <c r="O21" s="71">
        <f>IF(INDEX('Final Calculation Sheet'!$N$4:$N$40,$DG21)="","",INDEX('Final Calculation Sheet'!$N$4:$N$40,$DG21))</f>
        <v/>
      </c>
      <c r="P21" s="70">
        <f>IF(INDEX('Final Calculation Sheet'!$O$4:$O$40,$DG21)="","",INDEX('Final Calculation Sheet'!$O$4:$O$40,$DG21))</f>
        <v/>
      </c>
      <c r="Q21" s="70">
        <f>IF(INDEX('Final Calculation Sheet'!$P$4:$P$40,$DG21)="","",INDEX('Final Calculation Sheet'!$P$4:$P$40,$DG21))</f>
        <v/>
      </c>
      <c r="R21" s="72">
        <f>IF(INDEX('Final Calculation Sheet'!$Q$4:$Q$40,$DG21)="","",INDEX('Final Calculation Sheet'!$Q$4:$Q$40,$DG21))</f>
        <v/>
      </c>
      <c r="S21" s="70">
        <f>IF(INDEX('Final Calculation Sheet'!$R$4:$R$40,$DG21)="","",INDEX('Final Calculation Sheet'!$R$4:$R$40,$DG21))</f>
        <v/>
      </c>
      <c r="T21" s="70">
        <f>IF(INDEX('Final Calculation Sheet'!$S$4:$S$40,$DG21)="","",INDEX('Final Calculation Sheet'!$S$4:$S$40,$DG21))</f>
        <v/>
      </c>
      <c r="U21" s="70">
        <f>IF(INDEX('Final Calculation Sheet'!$T$4:$T$40,$DG21)="","",INDEX('Final Calculation Sheet'!$T$4:$T$40,$DG21))</f>
        <v/>
      </c>
      <c r="V21" s="73">
        <f>IF(INDEX('Final Calculation Sheet'!$U$4:$U$40,$DG21)="","",INDEX('Final Calculation Sheet'!$U$4:$U$40,$DG21))</f>
        <v/>
      </c>
      <c r="W21" s="70">
        <f>IF(INDEX('Final Calculation Sheet'!$V$4:$V$40,$DG21)="","",INDEX('Final Calculation Sheet'!$V$4:$V$40,$DG21))</f>
        <v/>
      </c>
      <c r="X21" s="70">
        <f>IF(INDEX('Final Calculation Sheet'!$W$4:$W$40,$DG21)="","",INDEX('Final Calculation Sheet'!$W$4:$W$40,$DG21))</f>
        <v/>
      </c>
      <c r="Y21" s="70">
        <f>IF(INDEX('Final Calculation Sheet'!$X$4:$X$40,$DG21)="","",INDEX('Final Calculation Sheet'!$X$4:$X$40,$DG21))</f>
        <v/>
      </c>
      <c r="Z21" s="70">
        <f>IF(INDEX('Final Calculation Sheet'!$Y$4:$Y$40,$DG21)="","",INDEX('Final Calculation Sheet'!$Y$4:$Y$40,$DG21))</f>
        <v/>
      </c>
      <c r="AA21" s="70">
        <f>IF(INDEX('Final Calculation Sheet'!$Z$4:$Z$40,$DG21)="","",INDEX('Final Calculation Sheet'!$Z$4:$Z$40,$DG21))</f>
        <v/>
      </c>
      <c r="AB21" s="70">
        <f>IF(INDEX('Final Calculation Sheet'!$AA$4:$AA$40,$DG21)="","",INDEX('Final Calculation Sheet'!$AA$4:$AA$40,$DG21))</f>
        <v/>
      </c>
      <c r="AC21" s="70">
        <f>IF(INDEX('Final Calculation Sheet'!$AB$4:$AB$40,$DG21)="","",INDEX('Final Calculation Sheet'!$AB$4:$AB$40,$DG21))</f>
        <v/>
      </c>
      <c r="AD21" s="70">
        <f>IF(INDEX('Final Calculation Sheet'!$AC$4:$AC$40,$DG21)="","",INDEX('Final Calculation Sheet'!$AC$4:$AC$40,$DG21))</f>
        <v/>
      </c>
      <c r="AE21" s="70">
        <f>IF(INDEX('Final Calculation Sheet'!$AD$4:$AD$40,$DG21)="","",INDEX('Final Calculation Sheet'!$AD$4:$AD$40,$DG21))</f>
        <v/>
      </c>
      <c r="AF21" s="75">
        <f>IF(INDEX('Final Calculation Sheet'!$AD$4:$AD$40,$DG21)="","",IF(INDEX('Final Calculation Sheet'!$AD$4:$AD$40,$DG21)&lt;=5,"SETTLED","OUTSTANDING"))</f>
        <v/>
      </c>
      <c r="AG21" s="70">
        <f>IF(INDEX('Final Calculation Sheet'!$AF$4:$AF$40,$DG21)="","",INDEX('Final Calculation Sheet'!$AF$4:$AF$40,$DG21))</f>
        <v/>
      </c>
      <c r="AH21" s="74">
        <f>IF(INDEX('Final Calculation Sheet'!$AG$4:$AG$40,$DG21)="","",INDEX('Final Calculation Sheet'!$AG$4:$AG$40,$DG21))</f>
        <v/>
      </c>
      <c r="AI21" s="70">
        <f>IF(INDEX('Final Calculation Sheet'!$AH$4:$AH$40,$DG21)="","",INDEX('Final Calculation Sheet'!$AH$4:$AH$40,$DG21))</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IF(AJ21,DD21,"")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c r="DC21">
        <f>IF(COUNTA($B$4:$AI$4)=0,15,IF(AJ20,DE21,$DE$54+11-DE21))</f>
      </c>
      <c r="DD21">
        <f>DD20+IF(AJ21,1,0)</f>
      </c>
      <c r="DE21">
        <f>DE20+IF(AJ20,1,0)</f>
      </c>
      <c r="DF21">
        <v>15</v>
      </c>
      <c r="DG21">
        <f>IF(COUNTA($B$4:$AI$4)=0,15,INDEX($DF$6:$DF$55,MATCH(11,$DC$6:$DC$55,0)))</f>
      </c>
    </row>
    <row r="22" outlineLevel="1" ht="15" customHeight="1" s="137">
      <c r="A22" s="90" t="n">
        <v>6</v>
      </c>
      <c r="B22" s="92">
        <f>IF(INDEX('Final Calculation Sheet'!$F$4:$F$40,$DG22)="","",INDEX('Final Calculation Sheet'!$F$4:$F$40,$DG22))</f>
        <v/>
      </c>
      <c r="C22" s="92">
        <f>IF(INDEX('Final Calculation Sheet'!$G$4:$G$40,$DG22)="","",INDEX('Final Calculation Sheet'!$G$4:$G$40,$DG22))</f>
        <v/>
      </c>
      <c r="D22" s="94">
        <f>IF(INDEX('Final Calculation Sheet'!$B$4:$B$40,$DG22)="","",INDEX('Final Calculation Sheet'!$B$4:$B$40,$DG22))</f>
        <v/>
      </c>
      <c r="E22" s="94">
        <f>IF(INDEX('Final Calculation Sheet'!$D$4:$D$40,$DG22)="","",INDEX('Final Calculation Sheet'!$D$4:$D$40,$DG22))</f>
        <v/>
      </c>
      <c r="F22" s="94">
        <f>IF(INDEX('Final Calculation Sheet'!$A$4:$A$40,$DG22)="","",INDEX('Final Calculation Sheet'!$A$4:$A$40,$DG22))</f>
        <v/>
      </c>
      <c r="G22" s="94">
        <f>IF(INDEX('Final Calculation Sheet'!$E$4:$E$40,$DG22)="","",INDEX('Final Calculation Sheet'!$E$4:$E$40,$DG22))</f>
        <v/>
      </c>
      <c r="H22" s="95">
        <f>IF(INDEX('Final Calculation Sheet'!$C$4:$C$40,$DG22)="","",INDEX('Final Calculation Sheet'!$C$4:$C$40,$DG22))</f>
        <v/>
      </c>
      <c r="I22" s="95">
        <f>IF(INDEX('Final Calculation Sheet'!$H$4:$H$40,$DG22)="","",INDEX('Final Calculation Sheet'!$H$4:$H$40,$DG22))</f>
        <v/>
      </c>
      <c r="J22" s="95">
        <f>IF(INDEX('Final Calculation Sheet'!$I$4:$I$40,$DG22)="","",INDEX('Final Calculation Sheet'!$I$4:$I$40,$DG22))</f>
        <v/>
      </c>
      <c r="K22" s="95">
        <f>IF(INDEX('Final Calculation Sheet'!$J$4:$J$40,$DG22)="","",INDEX('Final Calculation Sheet'!$J$4:$J$40,$DG22))</f>
        <v/>
      </c>
      <c r="L22" s="95">
        <f>IF(INDEX('Final Calculation Sheet'!$K$4:$K$40,$DG22)="","",INDEX('Final Calculation Sheet'!$K$4:$K$40,$DG22))</f>
        <v/>
      </c>
      <c r="M22" s="95">
        <f>IF(INDEX('Final Calculation Sheet'!$L$4:$L$40,$DG22)="","",INDEX('Final Calculation Sheet'!$L$4:$L$40,$DG22))</f>
        <v/>
      </c>
      <c r="N22" s="95">
        <f>IF(INDEX('Final Calculation Sheet'!$M$4:$M$40,$DG22)="","",INDEX('Final Calculation Sheet'!$M$4:$M$40,$DG22))</f>
        <v/>
      </c>
      <c r="O22" s="96">
        <f>IF(INDEX('Final Calculation Sheet'!$N$4:$N$40,$DG22)="","",INDEX('Final Calculation Sheet'!$N$4:$N$40,$DG22))</f>
        <v/>
      </c>
      <c r="P22" s="95">
        <f>IF(INDEX('Final Calculation Sheet'!$O$4:$O$40,$DG22)="","",INDEX('Final Calculation Sheet'!$O$4:$O$40,$DG22))</f>
        <v/>
      </c>
      <c r="Q22" s="95">
        <f>IF(INDEX('Final Calculation Sheet'!$P$4:$P$40,$DG22)="","",INDEX('Final Calculation Sheet'!$P$4:$P$40,$DG22))</f>
        <v/>
      </c>
      <c r="R22" s="97">
        <f>IF(INDEX('Final Calculation Sheet'!$Q$4:$Q$40,$DG22)="","",INDEX('Final Calculation Sheet'!$Q$4:$Q$40,$DG22))</f>
        <v/>
      </c>
      <c r="S22" s="95">
        <f>IF(INDEX('Final Calculation Sheet'!$R$4:$R$40,$DG22)="","",INDEX('Final Calculation Sheet'!$R$4:$R$40,$DG22))</f>
        <v/>
      </c>
      <c r="T22" s="95">
        <f>IF(INDEX('Final Calculation Sheet'!$S$4:$S$40,$DG22)="","",INDEX('Final Calculation Sheet'!$S$4:$S$40,$DG22))</f>
        <v/>
      </c>
      <c r="U22" s="95">
        <f>IF(INDEX('Final Calculation Sheet'!$T$4:$T$40,$DG22)="","",INDEX('Final Calculation Sheet'!$T$4:$T$40,$DG22))</f>
        <v/>
      </c>
      <c r="V22" s="98">
        <f>IF(INDEX('Final Calculation Sheet'!$U$4:$U$40,$DG22)="","",INDEX('Final Calculation Sheet'!$U$4:$U$40,$DG22))</f>
        <v/>
      </c>
      <c r="W22" s="95">
        <f>IF(INDEX('Final Calculation Sheet'!$V$4:$V$40,$DG22)="","",INDEX('Final Calculation Sheet'!$V$4:$V$40,$DG22))</f>
        <v/>
      </c>
      <c r="X22" s="95">
        <f>IF(INDEX('Final Calculation Sheet'!$W$4:$W$40,$DG22)="","",INDEX('Final Calculation Sheet'!$W$4:$W$40,$DG22))</f>
        <v/>
      </c>
      <c r="Y22" s="95">
        <f>IF(INDEX('Final Calculation Sheet'!$X$4:$X$40,$DG22)="","",INDEX('Final Calculation Sheet'!$X$4:$X$40,$DG22))</f>
        <v/>
      </c>
      <c r="Z22" s="95">
        <f>IF(INDEX('Final Calculation Sheet'!$Y$4:$Y$40,$DG22)="","",INDEX('Final Calculation Sheet'!$Y$4:$Y$40,$DG22))</f>
        <v/>
      </c>
      <c r="AA22" s="95">
        <f>IF(INDEX('Final Calculation Sheet'!$Z$4:$Z$40,$DG22)="","",INDEX('Final Calculation Sheet'!$Z$4:$Z$40,$DG22))</f>
        <v/>
      </c>
      <c r="AB22" s="95">
        <f>IF(INDEX('Final Calculation Sheet'!$AA$4:$AA$40,$DG22)="","",INDEX('Final Calculation Sheet'!$AA$4:$AA$40,$DG22))</f>
        <v/>
      </c>
      <c r="AC22" s="95">
        <f>IF(INDEX('Final Calculation Sheet'!$AB$4:$AB$40,$DG22)="","",INDEX('Final Calculation Sheet'!$AB$4:$AB$40,$DG22))</f>
        <v/>
      </c>
      <c r="AD22" s="95">
        <f>IF(INDEX('Final Calculation Sheet'!$AC$4:$AC$40,$DG22)="","",INDEX('Final Calculation Sheet'!$AC$4:$AC$40,$DG22))</f>
        <v/>
      </c>
      <c r="AE22" s="95">
        <f>IF(INDEX('Final Calculation Sheet'!$AD$4:$AD$40,$DG22)="","",INDEX('Final Calculation Sheet'!$AD$4:$AD$40,$DG22))</f>
        <v/>
      </c>
      <c r="AF22" s="100">
        <f>IF(INDEX('Final Calculation Sheet'!$AD$4:$AD$40,$DG22)="","",IF(INDEX('Final Calculation Sheet'!$AD$4:$AD$40,$DG22)&lt;=5,"SETTLED","OUTSTANDING"))</f>
        <v/>
      </c>
      <c r="AG22" s="95">
        <f>IF(INDEX('Final Calculation Sheet'!$AF$4:$AF$40,$DG22)="","",INDEX('Final Calculation Sheet'!$AF$4:$AF$40,$DG22))</f>
        <v/>
      </c>
      <c r="AH22" s="99">
        <f>IF(INDEX('Final Calculation Sheet'!$AG$4:$AG$40,$DG22)="","",INDEX('Final Calculation Sheet'!$AG$4:$AG$40,$DG22))</f>
        <v/>
      </c>
      <c r="AI22" s="95">
        <f>IF(INDEX('Final Calculation Sheet'!$AH$4:$AH$40,$DG22)="","",INDEX('Final Calculation Sheet'!$AH$4:$AH$40,$DG22))</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IF(AJ22,DD22,"")</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c r="DC22">
        <f>IF(COUNTA($B$4:$AI$4)=0,16,IF(AJ21,DE22,$DE$54+12-DE22))</f>
      </c>
      <c r="DD22">
        <f>DD21+IF(AJ22,1,0)</f>
      </c>
      <c r="DE22">
        <f>DE21+IF(AJ21,1,0)</f>
      </c>
      <c r="DF22">
        <v>16</v>
      </c>
      <c r="DG22">
        <f>IF(COUNTA($B$4:$AI$4)=0,16,INDEX($DF$6:$DF$55,MATCH(12,$DC$6:$DC$55,0)))</f>
      </c>
    </row>
    <row r="23" outlineLevel="1" ht="15" customHeight="1" s="137">
      <c r="A23" s="67" t="n">
        <v>7</v>
      </c>
      <c r="B23" s="76">
        <f>IF(INDEX('Final Calculation Sheet'!$F$4:$F$40,$DG23)="","",INDEX('Final Calculation Sheet'!$F$4:$F$40,$DG23))</f>
        <v/>
      </c>
      <c r="C23" s="76">
        <f>IF(INDEX('Final Calculation Sheet'!$G$4:$G$40,$DG23)="","",INDEX('Final Calculation Sheet'!$G$4:$G$40,$DG23))</f>
        <v/>
      </c>
      <c r="D23" s="80">
        <f>IF(INDEX('Final Calculation Sheet'!$B$4:$B$40,$DG23)="","",INDEX('Final Calculation Sheet'!$B$4:$B$40,$DG23))</f>
        <v/>
      </c>
      <c r="E23" s="80">
        <f>IF(INDEX('Final Calculation Sheet'!$D$4:$D$40,$DG23)="","",INDEX('Final Calculation Sheet'!$D$4:$D$40,$DG23))</f>
        <v/>
      </c>
      <c r="F23" s="80">
        <f>IF(INDEX('Final Calculation Sheet'!$A$4:$A$40,$DG23)="","",INDEX('Final Calculation Sheet'!$A$4:$A$40,$DG23))</f>
        <v/>
      </c>
      <c r="G23" s="80">
        <f>IF(INDEX('Final Calculation Sheet'!$E$4:$E$40,$DG23)="","",INDEX('Final Calculation Sheet'!$E$4:$E$40,$DG23))</f>
        <v/>
      </c>
      <c r="H23" s="70">
        <f>IF(INDEX('Final Calculation Sheet'!$C$4:$C$40,$DG23)="","",INDEX('Final Calculation Sheet'!$C$4:$C$40,$DG23))</f>
        <v/>
      </c>
      <c r="I23" s="70">
        <f>IF(INDEX('Final Calculation Sheet'!$H$4:$H$40,$DG23)="","",INDEX('Final Calculation Sheet'!$H$4:$H$40,$DG23))</f>
        <v/>
      </c>
      <c r="J23" s="70">
        <f>IF(INDEX('Final Calculation Sheet'!$I$4:$I$40,$DG23)="","",INDEX('Final Calculation Sheet'!$I$4:$I$40,$DG23))</f>
        <v/>
      </c>
      <c r="K23" s="70">
        <f>IF(INDEX('Final Calculation Sheet'!$J$4:$J$40,$DG23)="","",INDEX('Final Calculation Sheet'!$J$4:$J$40,$DG23))</f>
        <v/>
      </c>
      <c r="L23" s="70">
        <f>IF(INDEX('Final Calculation Sheet'!$K$4:$K$40,$DG23)="","",INDEX('Final Calculation Sheet'!$K$4:$K$40,$DG23))</f>
        <v/>
      </c>
      <c r="M23" s="70">
        <f>IF(INDEX('Final Calculation Sheet'!$L$4:$L$40,$DG23)="","",INDEX('Final Calculation Sheet'!$L$4:$L$40,$DG23))</f>
        <v/>
      </c>
      <c r="N23" s="70">
        <f>IF(INDEX('Final Calculation Sheet'!$M$4:$M$40,$DG23)="","",INDEX('Final Calculation Sheet'!$M$4:$M$40,$DG23))</f>
        <v/>
      </c>
      <c r="O23" s="71">
        <f>IF(INDEX('Final Calculation Sheet'!$N$4:$N$40,$DG23)="","",INDEX('Final Calculation Sheet'!$N$4:$N$40,$DG23))</f>
        <v/>
      </c>
      <c r="P23" s="70">
        <f>IF(INDEX('Final Calculation Sheet'!$O$4:$O$40,$DG23)="","",INDEX('Final Calculation Sheet'!$O$4:$O$40,$DG23))</f>
        <v/>
      </c>
      <c r="Q23" s="70">
        <f>IF(INDEX('Final Calculation Sheet'!$P$4:$P$40,$DG23)="","",INDEX('Final Calculation Sheet'!$P$4:$P$40,$DG23))</f>
        <v/>
      </c>
      <c r="R23" s="72">
        <f>IF(INDEX('Final Calculation Sheet'!$Q$4:$Q$40,$DG23)="","",INDEX('Final Calculation Sheet'!$Q$4:$Q$40,$DG23))</f>
        <v/>
      </c>
      <c r="S23" s="70">
        <f>IF(INDEX('Final Calculation Sheet'!$R$4:$R$40,$DG23)="","",INDEX('Final Calculation Sheet'!$R$4:$R$40,$DG23))</f>
        <v/>
      </c>
      <c r="T23" s="70">
        <f>IF(INDEX('Final Calculation Sheet'!$S$4:$S$40,$DG23)="","",INDEX('Final Calculation Sheet'!$S$4:$S$40,$DG23))</f>
        <v/>
      </c>
      <c r="U23" s="70">
        <f>IF(INDEX('Final Calculation Sheet'!$T$4:$T$40,$DG23)="","",INDEX('Final Calculation Sheet'!$T$4:$T$40,$DG23))</f>
        <v/>
      </c>
      <c r="V23" s="73">
        <f>IF(INDEX('Final Calculation Sheet'!$U$4:$U$40,$DG23)="","",INDEX('Final Calculation Sheet'!$U$4:$U$40,$DG23))</f>
        <v/>
      </c>
      <c r="W23" s="70">
        <f>IF(INDEX('Final Calculation Sheet'!$V$4:$V$40,$DG23)="","",INDEX('Final Calculation Sheet'!$V$4:$V$40,$DG23))</f>
        <v/>
      </c>
      <c r="X23" s="70">
        <f>IF(INDEX('Final Calculation Sheet'!$W$4:$W$40,$DG23)="","",INDEX('Final Calculation Sheet'!$W$4:$W$40,$DG23))</f>
        <v/>
      </c>
      <c r="Y23" s="70">
        <f>IF(INDEX('Final Calculation Sheet'!$X$4:$X$40,$DG23)="","",INDEX('Final Calculation Sheet'!$X$4:$X$40,$DG23))</f>
        <v/>
      </c>
      <c r="Z23" s="70">
        <f>IF(INDEX('Final Calculation Sheet'!$Y$4:$Y$40,$DG23)="","",INDEX('Final Calculation Sheet'!$Y$4:$Y$40,$DG23))</f>
        <v/>
      </c>
      <c r="AA23" s="70">
        <f>IF(INDEX('Final Calculation Sheet'!$Z$4:$Z$40,$DG23)="","",INDEX('Final Calculation Sheet'!$Z$4:$Z$40,$DG23))</f>
        <v/>
      </c>
      <c r="AB23" s="70">
        <f>IF(INDEX('Final Calculation Sheet'!$AA$4:$AA$40,$DG23)="","",INDEX('Final Calculation Sheet'!$AA$4:$AA$40,$DG23))</f>
        <v/>
      </c>
      <c r="AC23" s="70">
        <f>IF(INDEX('Final Calculation Sheet'!$AB$4:$AB$40,$DG23)="","",INDEX('Final Calculation Sheet'!$AB$4:$AB$40,$DG23))</f>
        <v/>
      </c>
      <c r="AD23" s="70">
        <f>IF(INDEX('Final Calculation Sheet'!$AC$4:$AC$40,$DG23)="","",INDEX('Final Calculation Sheet'!$AC$4:$AC$40,$DG23))</f>
        <v/>
      </c>
      <c r="AE23" s="70">
        <f>IF(INDEX('Final Calculation Sheet'!$AD$4:$AD$40,$DG23)="","",INDEX('Final Calculation Sheet'!$AD$4:$AD$40,$DG23))</f>
        <v/>
      </c>
      <c r="AF23" s="75">
        <f>IF(INDEX('Final Calculation Sheet'!$AD$4:$AD$40,$DG23)="","",IF(INDEX('Final Calculation Sheet'!$AD$4:$AD$40,$DG23)&lt;=5,"SETTLED","OUTSTANDING"))</f>
        <v/>
      </c>
      <c r="AG23" s="70">
        <f>IF(INDEX('Final Calculation Sheet'!$AF$4:$AF$40,$DG23)="","",INDEX('Final Calculation Sheet'!$AF$4:$AF$40,$DG23))</f>
        <v/>
      </c>
      <c r="AH23" s="74">
        <f>IF(INDEX('Final Calculation Sheet'!$AG$4:$AG$40,$DG23)="","",INDEX('Final Calculation Sheet'!$AG$4:$AG$40,$DG23))</f>
        <v/>
      </c>
      <c r="AI23" s="70">
        <f>IF(INDEX('Final Calculation Sheet'!$AH$4:$AH$40,$DG23)="","",INDEX('Final Calculation Sheet'!$AH$4:$AH$40,$DG23))</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IF(AJ23,DD23,"")</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c r="DC23">
        <f>IF(COUNTA($B$4:$AI$4)=0,19,IF(AJ24,DE23,$DE$54+13-DE23))</f>
      </c>
      <c r="DD23">
        <f>DD22+IF(AJ23,1,0)</f>
      </c>
      <c r="DE23">
        <f>DE22+IF(AJ24,1,0)</f>
      </c>
      <c r="DF23">
        <v>19</v>
      </c>
      <c r="DG23">
        <f>IF(COUNTA($B$4:$AI$4)=0,19,INDEX($DF$6:$DF$55,MATCH(13,$DC$6:$DC$55,0)))</f>
      </c>
    </row>
    <row r="24" outlineLevel="1" ht="15" customHeight="1" s="137">
      <c r="A24" s="90" t="n">
        <v>8</v>
      </c>
      <c r="B24" s="92">
        <f>IF(INDEX('Final Calculation Sheet'!$F$4:$F$40,$DG24)="","",INDEX('Final Calculation Sheet'!$F$4:$F$40,$DG24))</f>
        <v/>
      </c>
      <c r="C24" s="92">
        <f>IF(INDEX('Final Calculation Sheet'!$G$4:$G$40,$DG24)="","",INDEX('Final Calculation Sheet'!$G$4:$G$40,$DG24))</f>
        <v/>
      </c>
      <c r="D24" s="94">
        <f>IF(INDEX('Final Calculation Sheet'!$B$4:$B$40,$DG24)="","",INDEX('Final Calculation Sheet'!$B$4:$B$40,$DG24))</f>
        <v/>
      </c>
      <c r="E24" s="94">
        <f>IF(INDEX('Final Calculation Sheet'!$D$4:$D$40,$DG24)="","",INDEX('Final Calculation Sheet'!$D$4:$D$40,$DG24))</f>
        <v/>
      </c>
      <c r="F24" s="94">
        <f>IF(INDEX('Final Calculation Sheet'!$A$4:$A$40,$DG24)="","",INDEX('Final Calculation Sheet'!$A$4:$A$40,$DG24))</f>
        <v/>
      </c>
      <c r="G24" s="94">
        <f>IF(INDEX('Final Calculation Sheet'!$E$4:$E$40,$DG24)="","",INDEX('Final Calculation Sheet'!$E$4:$E$40,$DG24))</f>
        <v/>
      </c>
      <c r="H24" s="95">
        <f>IF(INDEX('Final Calculation Sheet'!$C$4:$C$40,$DG24)="","",INDEX('Final Calculation Sheet'!$C$4:$C$40,$DG24))</f>
        <v/>
      </c>
      <c r="I24" s="95">
        <f>IF(INDEX('Final Calculation Sheet'!$H$4:$H$40,$DG24)="","",INDEX('Final Calculation Sheet'!$H$4:$H$40,$DG24))</f>
        <v/>
      </c>
      <c r="J24" s="95">
        <f>IF(INDEX('Final Calculation Sheet'!$I$4:$I$40,$DG24)="","",INDEX('Final Calculation Sheet'!$I$4:$I$40,$DG24))</f>
        <v/>
      </c>
      <c r="K24" s="95">
        <f>IF(INDEX('Final Calculation Sheet'!$J$4:$J$40,$DG24)="","",INDEX('Final Calculation Sheet'!$J$4:$J$40,$DG24))</f>
        <v/>
      </c>
      <c r="L24" s="95">
        <f>IF(INDEX('Final Calculation Sheet'!$K$4:$K$40,$DG24)="","",INDEX('Final Calculation Sheet'!$K$4:$K$40,$DG24))</f>
        <v/>
      </c>
      <c r="M24" s="95">
        <f>IF(INDEX('Final Calculation Sheet'!$L$4:$L$40,$DG24)="","",INDEX('Final Calculation Sheet'!$L$4:$L$40,$DG24))</f>
        <v/>
      </c>
      <c r="N24" s="95">
        <f>IF(INDEX('Final Calculation Sheet'!$M$4:$M$40,$DG24)="","",INDEX('Final Calculation Sheet'!$M$4:$M$40,$DG24))</f>
        <v/>
      </c>
      <c r="O24" s="96">
        <f>IF(INDEX('Final Calculation Sheet'!$N$4:$N$40,$DG24)="","",INDEX('Final Calculation Sheet'!$N$4:$N$40,$DG24))</f>
        <v/>
      </c>
      <c r="P24" s="95">
        <f>IF(INDEX('Final Calculation Sheet'!$O$4:$O$40,$DG24)="","",INDEX('Final Calculation Sheet'!$O$4:$O$40,$DG24))</f>
        <v/>
      </c>
      <c r="Q24" s="95">
        <f>IF(INDEX('Final Calculation Sheet'!$P$4:$P$40,$DG24)="","",INDEX('Final Calculation Sheet'!$P$4:$P$40,$DG24))</f>
        <v/>
      </c>
      <c r="R24" s="97">
        <f>IF(INDEX('Final Calculation Sheet'!$Q$4:$Q$40,$DG24)="","",INDEX('Final Calculation Sheet'!$Q$4:$Q$40,$DG24))</f>
        <v/>
      </c>
      <c r="S24" s="95">
        <f>IF(INDEX('Final Calculation Sheet'!$R$4:$R$40,$DG24)="","",INDEX('Final Calculation Sheet'!$R$4:$R$40,$DG24))</f>
        <v/>
      </c>
      <c r="T24" s="95">
        <f>IF(INDEX('Final Calculation Sheet'!$S$4:$S$40,$DG24)="","",INDEX('Final Calculation Sheet'!$S$4:$S$40,$DG24))</f>
        <v/>
      </c>
      <c r="U24" s="95">
        <f>IF(INDEX('Final Calculation Sheet'!$T$4:$T$40,$DG24)="","",INDEX('Final Calculation Sheet'!$T$4:$T$40,$DG24))</f>
        <v/>
      </c>
      <c r="V24" s="98">
        <f>IF(INDEX('Final Calculation Sheet'!$U$4:$U$40,$DG24)="","",INDEX('Final Calculation Sheet'!$U$4:$U$40,$DG24))</f>
        <v/>
      </c>
      <c r="W24" s="95">
        <f>IF(INDEX('Final Calculation Sheet'!$V$4:$V$40,$DG24)="","",INDEX('Final Calculation Sheet'!$V$4:$V$40,$DG24))</f>
        <v/>
      </c>
      <c r="X24" s="95">
        <f>IF(INDEX('Final Calculation Sheet'!$W$4:$W$40,$DG24)="","",INDEX('Final Calculation Sheet'!$W$4:$W$40,$DG24))</f>
        <v/>
      </c>
      <c r="Y24" s="95">
        <f>IF(INDEX('Final Calculation Sheet'!$X$4:$X$40,$DG24)="","",INDEX('Final Calculation Sheet'!$X$4:$X$40,$DG24))</f>
        <v/>
      </c>
      <c r="Z24" s="95">
        <f>IF(INDEX('Final Calculation Sheet'!$Y$4:$Y$40,$DG24)="","",INDEX('Final Calculation Sheet'!$Y$4:$Y$40,$DG24))</f>
        <v/>
      </c>
      <c r="AA24" s="95">
        <f>IF(INDEX('Final Calculation Sheet'!$Z$4:$Z$40,$DG24)="","",INDEX('Final Calculation Sheet'!$Z$4:$Z$40,$DG24))</f>
        <v/>
      </c>
      <c r="AB24" s="95">
        <f>IF(INDEX('Final Calculation Sheet'!$AA$4:$AA$40,$DG24)="","",INDEX('Final Calculation Sheet'!$AA$4:$AA$40,$DG24))</f>
        <v/>
      </c>
      <c r="AC24" s="95">
        <f>IF(INDEX('Final Calculation Sheet'!$AB$4:$AB$40,$DG24)="","",INDEX('Final Calculation Sheet'!$AB$4:$AB$40,$DG24))</f>
        <v/>
      </c>
      <c r="AD24" s="95">
        <f>IF(INDEX('Final Calculation Sheet'!$AC$4:$AC$40,$DG24)="","",INDEX('Final Calculation Sheet'!$AC$4:$AC$40,$DG24))</f>
        <v/>
      </c>
      <c r="AE24" s="95">
        <f>IF(INDEX('Final Calculation Sheet'!$AD$4:$AD$40,$DG24)="","",INDEX('Final Calculation Sheet'!$AD$4:$AD$40,$DG24))</f>
        <v/>
      </c>
      <c r="AF24" s="100">
        <f>IF(INDEX('Final Calculation Sheet'!$AD$4:$AD$40,$DG24)="","",IF(INDEX('Final Calculation Sheet'!$AD$4:$AD$40,$DG24)&lt;=5,"SETTLED","OUTSTANDING"))</f>
        <v/>
      </c>
      <c r="AG24" s="95">
        <f>IF(INDEX('Final Calculation Sheet'!$AF$4:$AF$40,$DG24)="","",INDEX('Final Calculation Sheet'!$AF$4:$AF$40,$DG24))</f>
        <v/>
      </c>
      <c r="AH24" s="99">
        <f>IF(INDEX('Final Calculation Sheet'!$AG$4:$AG$40,$DG24)="","",INDEX('Final Calculation Sheet'!$AG$4:$AG$40,$DG24))</f>
        <v/>
      </c>
      <c r="AI24" s="95">
        <f>IF(INDEX('Final Calculation Sheet'!$AH$4:$AH$40,$DG24)="","",INDEX('Final Calculation Sheet'!$AH$4:$AH$40,$DG24))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IF(AJ24,DD24,"")</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c r="DC24">
        <f>IF(COUNTA($B$4:$AI$4)=0,21,IF(AJ26,DE24,$DE$54+14-DE24))</f>
      </c>
      <c r="DD24">
        <f>DD23+IF(AJ24,1,0)</f>
      </c>
      <c r="DE24">
        <f>DE23+IF(AJ26,1,0)</f>
      </c>
      <c r="DF24">
        <v>21</v>
      </c>
      <c r="DG24">
        <f>IF(COUNTA($B$4:$AI$4)=0,21,INDEX($DF$6:$DF$55,MATCH(14,$DC$6:$DC$55,0)))</f>
      </c>
    </row>
    <row r="25" outlineLevel="1" ht="15" customHeight="1" s="137">
      <c r="A25" s="67" t="n">
        <v>9</v>
      </c>
      <c r="B25" s="76">
        <f>IF(INDEX('Final Calculation Sheet'!$F$4:$F$40,$DG25)="","",INDEX('Final Calculation Sheet'!$F$4:$F$40,$DG25))</f>
        <v/>
      </c>
      <c r="C25" s="76">
        <f>IF(INDEX('Final Calculation Sheet'!$G$4:$G$40,$DG25)="","",INDEX('Final Calculation Sheet'!$G$4:$G$40,$DG25))</f>
        <v/>
      </c>
      <c r="D25" s="80">
        <f>IF(INDEX('Final Calculation Sheet'!$B$4:$B$40,$DG25)="","",INDEX('Final Calculation Sheet'!$B$4:$B$40,$DG25))</f>
        <v/>
      </c>
      <c r="E25" s="80">
        <f>IF(INDEX('Final Calculation Sheet'!$D$4:$D$40,$DG25)="","",INDEX('Final Calculation Sheet'!$D$4:$D$40,$DG25))</f>
        <v/>
      </c>
      <c r="F25" s="80">
        <f>IF(INDEX('Final Calculation Sheet'!$A$4:$A$40,$DG25)="","",INDEX('Final Calculation Sheet'!$A$4:$A$40,$DG25))</f>
        <v/>
      </c>
      <c r="G25" s="80">
        <f>IF(INDEX('Final Calculation Sheet'!$E$4:$E$40,$DG25)="","",INDEX('Final Calculation Sheet'!$E$4:$E$40,$DG25))</f>
        <v/>
      </c>
      <c r="H25" s="70">
        <f>IF(INDEX('Final Calculation Sheet'!$C$4:$C$40,$DG25)="","",INDEX('Final Calculation Sheet'!$C$4:$C$40,$DG25))</f>
        <v/>
      </c>
      <c r="I25" s="70">
        <f>IF(INDEX('Final Calculation Sheet'!$H$4:$H$40,$DG25)="","",INDEX('Final Calculation Sheet'!$H$4:$H$40,$DG25))</f>
        <v/>
      </c>
      <c r="J25" s="70">
        <f>IF(INDEX('Final Calculation Sheet'!$I$4:$I$40,$DG25)="","",INDEX('Final Calculation Sheet'!$I$4:$I$40,$DG25))</f>
        <v/>
      </c>
      <c r="K25" s="70">
        <f>IF(INDEX('Final Calculation Sheet'!$J$4:$J$40,$DG25)="","",INDEX('Final Calculation Sheet'!$J$4:$J$40,$DG25))</f>
        <v/>
      </c>
      <c r="L25" s="70">
        <f>IF(INDEX('Final Calculation Sheet'!$K$4:$K$40,$DG25)="","",INDEX('Final Calculation Sheet'!$K$4:$K$40,$DG25))</f>
        <v/>
      </c>
      <c r="M25" s="70">
        <f>IF(INDEX('Final Calculation Sheet'!$L$4:$L$40,$DG25)="","",INDEX('Final Calculation Sheet'!$L$4:$L$40,$DG25))</f>
        <v/>
      </c>
      <c r="N25" s="70">
        <f>IF(INDEX('Final Calculation Sheet'!$M$4:$M$40,$DG25)="","",INDEX('Final Calculation Sheet'!$M$4:$M$40,$DG25))</f>
        <v/>
      </c>
      <c r="O25" s="71">
        <f>IF(INDEX('Final Calculation Sheet'!$N$4:$N$40,$DG25)="","",INDEX('Final Calculation Sheet'!$N$4:$N$40,$DG25))</f>
        <v/>
      </c>
      <c r="P25" s="70">
        <f>IF(INDEX('Final Calculation Sheet'!$O$4:$O$40,$DG25)="","",INDEX('Final Calculation Sheet'!$O$4:$O$40,$DG25))</f>
        <v/>
      </c>
      <c r="Q25" s="70">
        <f>IF(INDEX('Final Calculation Sheet'!$P$4:$P$40,$DG25)="","",INDEX('Final Calculation Sheet'!$P$4:$P$40,$DG25))</f>
        <v/>
      </c>
      <c r="R25" s="72">
        <f>IF(INDEX('Final Calculation Sheet'!$Q$4:$Q$40,$DG25)="","",INDEX('Final Calculation Sheet'!$Q$4:$Q$40,$DG25))</f>
        <v/>
      </c>
      <c r="S25" s="70">
        <f>IF(INDEX('Final Calculation Sheet'!$R$4:$R$40,$DG25)="","",INDEX('Final Calculation Sheet'!$R$4:$R$40,$DG25))</f>
        <v/>
      </c>
      <c r="T25" s="70">
        <f>IF(INDEX('Final Calculation Sheet'!$S$4:$S$40,$DG25)="","",INDEX('Final Calculation Sheet'!$S$4:$S$40,$DG25))</f>
        <v/>
      </c>
      <c r="U25" s="70">
        <f>IF(INDEX('Final Calculation Sheet'!$T$4:$T$40,$DG25)="","",INDEX('Final Calculation Sheet'!$T$4:$T$40,$DG25))</f>
        <v/>
      </c>
      <c r="V25" s="73">
        <f>IF(INDEX('Final Calculation Sheet'!$U$4:$U$40,$DG25)="","",INDEX('Final Calculation Sheet'!$U$4:$U$40,$DG25))</f>
        <v/>
      </c>
      <c r="W25" s="70">
        <f>IF(INDEX('Final Calculation Sheet'!$V$4:$V$40,$DG25)="","",INDEX('Final Calculation Sheet'!$V$4:$V$40,$DG25))</f>
        <v/>
      </c>
      <c r="X25" s="70">
        <f>IF(INDEX('Final Calculation Sheet'!$W$4:$W$40,$DG25)="","",INDEX('Final Calculation Sheet'!$W$4:$W$40,$DG25))</f>
        <v/>
      </c>
      <c r="Y25" s="70">
        <f>IF(INDEX('Final Calculation Sheet'!$X$4:$X$40,$DG25)="","",INDEX('Final Calculation Sheet'!$X$4:$X$40,$DG25))</f>
        <v/>
      </c>
      <c r="Z25" s="70">
        <f>IF(INDEX('Final Calculation Sheet'!$Y$4:$Y$40,$DG25)="","",INDEX('Final Calculation Sheet'!$Y$4:$Y$40,$DG25))</f>
        <v/>
      </c>
      <c r="AA25" s="70">
        <f>IF(INDEX('Final Calculation Sheet'!$Z$4:$Z$40,$DG25)="","",INDEX('Final Calculation Sheet'!$Z$4:$Z$40,$DG25))</f>
        <v/>
      </c>
      <c r="AB25" s="70">
        <f>IF(INDEX('Final Calculation Sheet'!$AA$4:$AA$40,$DG25)="","",INDEX('Final Calculation Sheet'!$AA$4:$AA$40,$DG25))</f>
        <v/>
      </c>
      <c r="AC25" s="70">
        <f>IF(INDEX('Final Calculation Sheet'!$AB$4:$AB$40,$DG25)="","",INDEX('Final Calculation Sheet'!$AB$4:$AB$40,$DG25))</f>
        <v/>
      </c>
      <c r="AD25" s="70">
        <f>IF(INDEX('Final Calculation Sheet'!$AC$4:$AC$40,$DG25)="","",INDEX('Final Calculation Sheet'!$AC$4:$AC$40,$DG25))</f>
        <v/>
      </c>
      <c r="AE25" s="70">
        <f>IF(INDEX('Final Calculation Sheet'!$AD$4:$AD$40,$DG25)="","",INDEX('Final Calculation Sheet'!$AD$4:$AD$40,$DG25))</f>
        <v/>
      </c>
      <c r="AF25" s="75">
        <f>IF(INDEX('Final Calculation Sheet'!$AD$4:$AD$40,$DG25)="","",IF(INDEX('Final Calculation Sheet'!$AD$4:$AD$40,$DG25)&lt;=5,"SETTLED","OUTSTANDING"))</f>
        <v/>
      </c>
      <c r="AG25" s="70">
        <f>IF(INDEX('Final Calculation Sheet'!$AF$4:$AF$40,$DG25)="","",INDEX('Final Calculation Sheet'!$AF$4:$AF$40,$DG25))</f>
        <v/>
      </c>
      <c r="AH25" s="74">
        <f>IF(INDEX('Final Calculation Sheet'!$AG$4:$AG$40,$DG25)="","",INDEX('Final Calculation Sheet'!$AG$4:$AG$40,$DG25))</f>
        <v/>
      </c>
      <c r="AI25" s="70">
        <f>IF(INDEX('Final Calculation Sheet'!$AH$4:$AH$40,$DG25)="","",INDEX('Final Calculation Sheet'!$AH$4:$AH$40,$DG25))</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IF(AJ25,DD25,"")</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c r="DC25">
        <f>IF(COUNTA($B$4:$AI$4)=0,23,IF(AJ28,DE25,$DE$54+15-DE25))</f>
      </c>
      <c r="DD25">
        <f>DD24+IF(AJ25,1,0)</f>
      </c>
      <c r="DE25">
        <f>DE24+IF(AJ28,1,0)</f>
      </c>
      <c r="DF25">
        <v>23</v>
      </c>
      <c r="DG25">
        <f>IF(COUNTA($B$4:$AI$4)=0,23,INDEX($DF$6:$DF$55,MATCH(15,$DC$6:$DC$55,0)))</f>
      </c>
    </row>
    <row r="26" outlineLevel="1" ht="15" customHeight="1" s="137">
      <c r="A26" s="90" t="n">
        <v>10</v>
      </c>
      <c r="B26" s="92">
        <f>IF(INDEX('Final Calculation Sheet'!$F$4:$F$40,$DG26)="","",INDEX('Final Calculation Sheet'!$F$4:$F$40,$DG26))</f>
        <v/>
      </c>
      <c r="C26" s="92">
        <f>IF(INDEX('Final Calculation Sheet'!$G$4:$G$40,$DG26)="","",INDEX('Final Calculation Sheet'!$G$4:$G$40,$DG26))</f>
        <v/>
      </c>
      <c r="D26" s="94">
        <f>IF(INDEX('Final Calculation Sheet'!$B$4:$B$40,$DG26)="","",INDEX('Final Calculation Sheet'!$B$4:$B$40,$DG26))</f>
        <v/>
      </c>
      <c r="E26" s="94">
        <f>IF(INDEX('Final Calculation Sheet'!$D$4:$D$40,$DG26)="","",INDEX('Final Calculation Sheet'!$D$4:$D$40,$DG26))</f>
        <v/>
      </c>
      <c r="F26" s="94">
        <f>IF(INDEX('Final Calculation Sheet'!$A$4:$A$40,$DG26)="","",INDEX('Final Calculation Sheet'!$A$4:$A$40,$DG26))</f>
        <v/>
      </c>
      <c r="G26" s="94">
        <f>IF(INDEX('Final Calculation Sheet'!$E$4:$E$40,$DG26)="","",INDEX('Final Calculation Sheet'!$E$4:$E$40,$DG26))</f>
        <v/>
      </c>
      <c r="H26" s="95">
        <f>IF(INDEX('Final Calculation Sheet'!$C$4:$C$40,$DG26)="","",INDEX('Final Calculation Sheet'!$C$4:$C$40,$DG26))</f>
        <v/>
      </c>
      <c r="I26" s="95">
        <f>IF(INDEX('Final Calculation Sheet'!$H$4:$H$40,$DG26)="","",INDEX('Final Calculation Sheet'!$H$4:$H$40,$DG26))</f>
        <v/>
      </c>
      <c r="J26" s="95">
        <f>IF(INDEX('Final Calculation Sheet'!$I$4:$I$40,$DG26)="","",INDEX('Final Calculation Sheet'!$I$4:$I$40,$DG26))</f>
        <v/>
      </c>
      <c r="K26" s="95">
        <f>IF(INDEX('Final Calculation Sheet'!$J$4:$J$40,$DG26)="","",INDEX('Final Calculation Sheet'!$J$4:$J$40,$DG26))</f>
        <v/>
      </c>
      <c r="L26" s="95">
        <f>IF(INDEX('Final Calculation Sheet'!$K$4:$K$40,$DG26)="","",INDEX('Final Calculation Sheet'!$K$4:$K$40,$DG26))</f>
        <v/>
      </c>
      <c r="M26" s="95">
        <f>IF(INDEX('Final Calculation Sheet'!$L$4:$L$40,$DG26)="","",INDEX('Final Calculation Sheet'!$L$4:$L$40,$DG26))</f>
        <v/>
      </c>
      <c r="N26" s="95">
        <f>IF(INDEX('Final Calculation Sheet'!$M$4:$M$40,$DG26)="","",INDEX('Final Calculation Sheet'!$M$4:$M$40,$DG26))</f>
        <v/>
      </c>
      <c r="O26" s="96">
        <f>IF(INDEX('Final Calculation Sheet'!$N$4:$N$40,$DG26)="","",INDEX('Final Calculation Sheet'!$N$4:$N$40,$DG26))</f>
        <v/>
      </c>
      <c r="P26" s="95">
        <f>IF(INDEX('Final Calculation Sheet'!$O$4:$O$40,$DG26)="","",INDEX('Final Calculation Sheet'!$O$4:$O$40,$DG26))</f>
        <v/>
      </c>
      <c r="Q26" s="95">
        <f>IF(INDEX('Final Calculation Sheet'!$P$4:$P$40,$DG26)="","",INDEX('Final Calculation Sheet'!$P$4:$P$40,$DG26))</f>
        <v/>
      </c>
      <c r="R26" s="97">
        <f>IF(INDEX('Final Calculation Sheet'!$Q$4:$Q$40,$DG26)="","",INDEX('Final Calculation Sheet'!$Q$4:$Q$40,$DG26))</f>
        <v/>
      </c>
      <c r="S26" s="95">
        <f>IF(INDEX('Final Calculation Sheet'!$R$4:$R$40,$DG26)="","",INDEX('Final Calculation Sheet'!$R$4:$R$40,$DG26))</f>
        <v/>
      </c>
      <c r="T26" s="95">
        <f>IF(INDEX('Final Calculation Sheet'!$S$4:$S$40,$DG26)="","",INDEX('Final Calculation Sheet'!$S$4:$S$40,$DG26))</f>
        <v/>
      </c>
      <c r="U26" s="95">
        <f>IF(INDEX('Final Calculation Sheet'!$T$4:$T$40,$DG26)="","",INDEX('Final Calculation Sheet'!$T$4:$T$40,$DG26))</f>
        <v/>
      </c>
      <c r="V26" s="98">
        <f>IF(INDEX('Final Calculation Sheet'!$U$4:$U$40,$DG26)="","",INDEX('Final Calculation Sheet'!$U$4:$U$40,$DG26))</f>
        <v/>
      </c>
      <c r="W26" s="95">
        <f>IF(INDEX('Final Calculation Sheet'!$V$4:$V$40,$DG26)="","",INDEX('Final Calculation Sheet'!$V$4:$V$40,$DG26))</f>
        <v/>
      </c>
      <c r="X26" s="95">
        <f>IF(INDEX('Final Calculation Sheet'!$W$4:$W$40,$DG26)="","",INDEX('Final Calculation Sheet'!$W$4:$W$40,$DG26))</f>
        <v/>
      </c>
      <c r="Y26" s="95">
        <f>IF(INDEX('Final Calculation Sheet'!$X$4:$X$40,$DG26)="","",INDEX('Final Calculation Sheet'!$X$4:$X$40,$DG26))</f>
        <v/>
      </c>
      <c r="Z26" s="95">
        <f>IF(INDEX('Final Calculation Sheet'!$Y$4:$Y$40,$DG26)="","",INDEX('Final Calculation Sheet'!$Y$4:$Y$40,$DG26))</f>
        <v/>
      </c>
      <c r="AA26" s="95">
        <f>IF(INDEX('Final Calculation Sheet'!$Z$4:$Z$40,$DG26)="","",INDEX('Final Calculation Sheet'!$Z$4:$Z$40,$DG26))</f>
        <v/>
      </c>
      <c r="AB26" s="95">
        <f>IF(INDEX('Final Calculation Sheet'!$AA$4:$AA$40,$DG26)="","",INDEX('Final Calculation Sheet'!$AA$4:$AA$40,$DG26))</f>
        <v/>
      </c>
      <c r="AC26" s="95">
        <f>IF(INDEX('Final Calculation Sheet'!$AB$4:$AB$40,$DG26)="","",INDEX('Final Calculation Sheet'!$AB$4:$AB$40,$DG26))</f>
        <v/>
      </c>
      <c r="AD26" s="95">
        <f>IF(INDEX('Final Calculation Sheet'!$AC$4:$AC$40,$DG26)="","",INDEX('Final Calculation Sheet'!$AC$4:$AC$40,$DG26))</f>
        <v/>
      </c>
      <c r="AE26" s="95">
        <f>IF(INDEX('Final Calculation Sheet'!$AD$4:$AD$40,$DG26)="","",INDEX('Final Calculation Sheet'!$AD$4:$AD$40,$DG26))</f>
        <v/>
      </c>
      <c r="AF26" s="100">
        <f>IF(INDEX('Final Calculation Sheet'!$AD$4:$AD$40,$DG26)="","",IF(INDEX('Final Calculation Sheet'!$AD$4:$AD$40,$DG26)&lt;=5,"SETTLED","OUTSTANDING"))</f>
        <v/>
      </c>
      <c r="AG26" s="95">
        <f>IF(INDEX('Final Calculation Sheet'!$AF$4:$AF$40,$DG26)="","",INDEX('Final Calculation Sheet'!$AF$4:$AF$40,$DG26))</f>
        <v/>
      </c>
      <c r="AH26" s="99">
        <f>IF(INDEX('Final Calculation Sheet'!$AG$4:$AG$40,$DG26)="","",INDEX('Final Calculation Sheet'!$AG$4:$AG$40,$DG26))</f>
        <v/>
      </c>
      <c r="AI26" s="95">
        <f>IF(INDEX('Final Calculation Sheet'!$AH$4:$AH$40,$DG26)="","",INDEX('Final Calculation Sheet'!$AH$4:$AH$40,$DG26))</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IF(AJ26,DD26,"")</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c r="DC26">
        <f>IF(COUNTA($B$4:$AI$4)=0,27,IF(AJ32,DE26,$DE$54+16-DE26))</f>
      </c>
      <c r="DD26">
        <f>DD25+IF(AJ26,1,0)</f>
      </c>
      <c r="DE26">
        <f>DE25+IF(AJ32,1,0)</f>
      </c>
      <c r="DF26">
        <v>27</v>
      </c>
      <c r="DG26">
        <f>IF(COUNTA($B$4:$AI$4)=0,27,INDEX($DF$6:$DF$55,MATCH(16,$DC$6:$DC$55,0)))</f>
      </c>
    </row>
    <row r="27" outlineLevel="1" ht="15" customHeight="1" s="137">
      <c r="A27" s="67" t="n">
        <v>11</v>
      </c>
      <c r="B27" s="76">
        <f>IF(INDEX('Final Calculation Sheet'!$F$4:$F$40,$DG27)="","",INDEX('Final Calculation Sheet'!$F$4:$F$40,$DG27))</f>
        <v/>
      </c>
      <c r="C27" s="76">
        <f>IF(INDEX('Final Calculation Sheet'!$G$4:$G$40,$DG27)="","",INDEX('Final Calculation Sheet'!$G$4:$G$40,$DG27))</f>
        <v/>
      </c>
      <c r="D27" s="80">
        <f>IF(INDEX('Final Calculation Sheet'!$B$4:$B$40,$DG27)="","",INDEX('Final Calculation Sheet'!$B$4:$B$40,$DG27))</f>
        <v/>
      </c>
      <c r="E27" s="80">
        <f>IF(INDEX('Final Calculation Sheet'!$D$4:$D$40,$DG27)="","",INDEX('Final Calculation Sheet'!$D$4:$D$40,$DG27))</f>
        <v/>
      </c>
      <c r="F27" s="80">
        <f>IF(INDEX('Final Calculation Sheet'!$A$4:$A$40,$DG27)="","",INDEX('Final Calculation Sheet'!$A$4:$A$40,$DG27))</f>
        <v/>
      </c>
      <c r="G27" s="80">
        <f>IF(INDEX('Final Calculation Sheet'!$E$4:$E$40,$DG27)="","",INDEX('Final Calculation Sheet'!$E$4:$E$40,$DG27))</f>
        <v/>
      </c>
      <c r="H27" s="70">
        <f>IF(INDEX('Final Calculation Sheet'!$C$4:$C$40,$DG27)="","",INDEX('Final Calculation Sheet'!$C$4:$C$40,$DG27))</f>
        <v/>
      </c>
      <c r="I27" s="70">
        <f>IF(INDEX('Final Calculation Sheet'!$H$4:$H$40,$DG27)="","",INDEX('Final Calculation Sheet'!$H$4:$H$40,$DG27))</f>
        <v/>
      </c>
      <c r="J27" s="70">
        <f>IF(INDEX('Final Calculation Sheet'!$I$4:$I$40,$DG27)="","",INDEX('Final Calculation Sheet'!$I$4:$I$40,$DG27))</f>
        <v/>
      </c>
      <c r="K27" s="70">
        <f>IF(INDEX('Final Calculation Sheet'!$J$4:$J$40,$DG27)="","",INDEX('Final Calculation Sheet'!$J$4:$J$40,$DG27))</f>
        <v/>
      </c>
      <c r="L27" s="70">
        <f>IF(INDEX('Final Calculation Sheet'!$K$4:$K$40,$DG27)="","",INDEX('Final Calculation Sheet'!$K$4:$K$40,$DG27))</f>
        <v/>
      </c>
      <c r="M27" s="70">
        <f>IF(INDEX('Final Calculation Sheet'!$L$4:$L$40,$DG27)="","",INDEX('Final Calculation Sheet'!$L$4:$L$40,$DG27))</f>
        <v/>
      </c>
      <c r="N27" s="70">
        <f>IF(INDEX('Final Calculation Sheet'!$M$4:$M$40,$DG27)="","",INDEX('Final Calculation Sheet'!$M$4:$M$40,$DG27))</f>
        <v/>
      </c>
      <c r="O27" s="71">
        <f>IF(INDEX('Final Calculation Sheet'!$N$4:$N$40,$DG27)="","",INDEX('Final Calculation Sheet'!$N$4:$N$40,$DG27))</f>
        <v/>
      </c>
      <c r="P27" s="70">
        <f>IF(INDEX('Final Calculation Sheet'!$O$4:$O$40,$DG27)="","",INDEX('Final Calculation Sheet'!$O$4:$O$40,$DG27))</f>
        <v/>
      </c>
      <c r="Q27" s="70">
        <f>IF(INDEX('Final Calculation Sheet'!$P$4:$P$40,$DG27)="","",INDEX('Final Calculation Sheet'!$P$4:$P$40,$DG27))</f>
        <v/>
      </c>
      <c r="R27" s="72">
        <f>IF(INDEX('Final Calculation Sheet'!$Q$4:$Q$40,$DG27)="","",INDEX('Final Calculation Sheet'!$Q$4:$Q$40,$DG27))</f>
        <v/>
      </c>
      <c r="S27" s="70">
        <f>IF(INDEX('Final Calculation Sheet'!$R$4:$R$40,$DG27)="","",INDEX('Final Calculation Sheet'!$R$4:$R$40,$DG27))</f>
        <v/>
      </c>
      <c r="T27" s="70">
        <f>IF(INDEX('Final Calculation Sheet'!$S$4:$S$40,$DG27)="","",INDEX('Final Calculation Sheet'!$S$4:$S$40,$DG27))</f>
        <v/>
      </c>
      <c r="U27" s="70">
        <f>IF(INDEX('Final Calculation Sheet'!$T$4:$T$40,$DG27)="","",INDEX('Final Calculation Sheet'!$T$4:$T$40,$DG27))</f>
        <v/>
      </c>
      <c r="V27" s="73">
        <f>IF(INDEX('Final Calculation Sheet'!$U$4:$U$40,$DG27)="","",INDEX('Final Calculation Sheet'!$U$4:$U$40,$DG27))</f>
        <v/>
      </c>
      <c r="W27" s="70">
        <f>IF(INDEX('Final Calculation Sheet'!$V$4:$V$40,$DG27)="","",INDEX('Final Calculation Sheet'!$V$4:$V$40,$DG27))</f>
        <v/>
      </c>
      <c r="X27" s="70">
        <f>IF(INDEX('Final Calculation Sheet'!$W$4:$W$40,$DG27)="","",INDEX('Final Calculation Sheet'!$W$4:$W$40,$DG27))</f>
        <v/>
      </c>
      <c r="Y27" s="70">
        <f>IF(INDEX('Final Calculation Sheet'!$X$4:$X$40,$DG27)="","",INDEX('Final Calculation Sheet'!$X$4:$X$40,$DG27))</f>
        <v/>
      </c>
      <c r="Z27" s="70">
        <f>IF(INDEX('Final Calculation Sheet'!$Y$4:$Y$40,$DG27)="","",INDEX('Final Calculation Sheet'!$Y$4:$Y$40,$DG27))</f>
        <v/>
      </c>
      <c r="AA27" s="70">
        <f>IF(INDEX('Final Calculation Sheet'!$Z$4:$Z$40,$DG27)="","",INDEX('Final Calculation Sheet'!$Z$4:$Z$40,$DG27))</f>
        <v/>
      </c>
      <c r="AB27" s="70">
        <f>IF(INDEX('Final Calculation Sheet'!$AA$4:$AA$40,$DG27)="","",INDEX('Final Calculation Sheet'!$AA$4:$AA$40,$DG27))</f>
        <v/>
      </c>
      <c r="AC27" s="70">
        <f>IF(INDEX('Final Calculation Sheet'!$AB$4:$AB$40,$DG27)="","",INDEX('Final Calculation Sheet'!$AB$4:$AB$40,$DG27))</f>
        <v/>
      </c>
      <c r="AD27" s="70">
        <f>IF(INDEX('Final Calculation Sheet'!$AC$4:$AC$40,$DG27)="","",INDEX('Final Calculation Sheet'!$AC$4:$AC$40,$DG27))</f>
        <v/>
      </c>
      <c r="AE27" s="70">
        <f>IF(INDEX('Final Calculation Sheet'!$AD$4:$AD$40,$DG27)="","",INDEX('Final Calculation Sheet'!$AD$4:$AD$40,$DG27))</f>
        <v/>
      </c>
      <c r="AF27" s="75">
        <f>IF(INDEX('Final Calculation Sheet'!$AD$4:$AD$40,$DG27)="","",IF(INDEX('Final Calculation Sheet'!$AD$4:$AD$40,$DG27)&lt;=5,"SETTLED","OUTSTANDING"))</f>
        <v/>
      </c>
      <c r="AG27" s="70">
        <f>IF(INDEX('Final Calculation Sheet'!$AF$4:$AF$40,$DG27)="","",INDEX('Final Calculation Sheet'!$AF$4:$AF$40,$DG27))</f>
        <v/>
      </c>
      <c r="AH27" s="74">
        <f>IF(INDEX('Final Calculation Sheet'!$AG$4:$AG$40,$DG27)="","",INDEX('Final Calculation Sheet'!$AG$4:$AG$40,$DG27))</f>
        <v/>
      </c>
      <c r="AI27" s="70">
        <f>IF(INDEX('Final Calculation Sheet'!$AH$4:$AH$40,$DG27)="","",INDEX('Final Calculation Sheet'!$AH$4:$AH$40,$DG27))</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IF(AJ27,DD27,"")</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c r="DC27">
        <f>IF(COUNTA($B$4:$AI$4)=0,29,IF(AJ34,DE27,$DE$54+17-DE27))</f>
      </c>
      <c r="DD27">
        <f>DD26+IF(AJ27,1,0)</f>
      </c>
      <c r="DE27">
        <f>DE26+IF(AJ34,1,0)</f>
      </c>
      <c r="DF27">
        <v>29</v>
      </c>
      <c r="DG27">
        <f>IF(COUNTA($B$4:$AI$4)=0,29,INDEX($DF$6:$DF$55,MATCH(17,$DC$6:$DC$55,0)))</f>
      </c>
    </row>
    <row r="28" outlineLevel="1" ht="15" customHeight="1" s="137">
      <c r="A28" s="90" t="n">
        <v>12</v>
      </c>
      <c r="B28" s="92">
        <f>IF(INDEX('Final Calculation Sheet'!$F$4:$F$40,$DG28)="","",INDEX('Final Calculation Sheet'!$F$4:$F$40,$DG28))</f>
        <v/>
      </c>
      <c r="C28" s="92">
        <f>IF(INDEX('Final Calculation Sheet'!$G$4:$G$40,$DG28)="","",INDEX('Final Calculation Sheet'!$G$4:$G$40,$DG28))</f>
        <v/>
      </c>
      <c r="D28" s="94">
        <f>IF(INDEX('Final Calculation Sheet'!$B$4:$B$40,$DG28)="","",INDEX('Final Calculation Sheet'!$B$4:$B$40,$DG28))</f>
        <v/>
      </c>
      <c r="E28" s="94">
        <f>IF(INDEX('Final Calculation Sheet'!$D$4:$D$40,$DG28)="","",INDEX('Final Calculation Sheet'!$D$4:$D$40,$DG28))</f>
        <v/>
      </c>
      <c r="F28" s="94">
        <f>IF(INDEX('Final Calculation Sheet'!$A$4:$A$40,$DG28)="","",INDEX('Final Calculation Sheet'!$A$4:$A$40,$DG28))</f>
        <v/>
      </c>
      <c r="G28" s="94">
        <f>IF(INDEX('Final Calculation Sheet'!$E$4:$E$40,$DG28)="","",INDEX('Final Calculation Sheet'!$E$4:$E$40,$DG28))</f>
        <v/>
      </c>
      <c r="H28" s="95">
        <f>IF(INDEX('Final Calculation Sheet'!$C$4:$C$40,$DG28)="","",INDEX('Final Calculation Sheet'!$C$4:$C$40,$DG28))</f>
        <v/>
      </c>
      <c r="I28" s="95">
        <f>IF(INDEX('Final Calculation Sheet'!$H$4:$H$40,$DG28)="","",INDEX('Final Calculation Sheet'!$H$4:$H$40,$DG28))</f>
        <v/>
      </c>
      <c r="J28" s="95">
        <f>IF(INDEX('Final Calculation Sheet'!$I$4:$I$40,$DG28)="","",INDEX('Final Calculation Sheet'!$I$4:$I$40,$DG28))</f>
        <v/>
      </c>
      <c r="K28" s="95">
        <f>IF(INDEX('Final Calculation Sheet'!$J$4:$J$40,$DG28)="","",INDEX('Final Calculation Sheet'!$J$4:$J$40,$DG28))</f>
        <v/>
      </c>
      <c r="L28" s="95">
        <f>IF(INDEX('Final Calculation Sheet'!$K$4:$K$40,$DG28)="","",INDEX('Final Calculation Sheet'!$K$4:$K$40,$DG28))</f>
        <v/>
      </c>
      <c r="M28" s="95">
        <f>IF(INDEX('Final Calculation Sheet'!$L$4:$L$40,$DG28)="","",INDEX('Final Calculation Sheet'!$L$4:$L$40,$DG28))</f>
        <v/>
      </c>
      <c r="N28" s="95">
        <f>IF(INDEX('Final Calculation Sheet'!$M$4:$M$40,$DG28)="","",INDEX('Final Calculation Sheet'!$M$4:$M$40,$DG28))</f>
        <v/>
      </c>
      <c r="O28" s="96">
        <f>IF(INDEX('Final Calculation Sheet'!$N$4:$N$40,$DG28)="","",INDEX('Final Calculation Sheet'!$N$4:$N$40,$DG28))</f>
        <v/>
      </c>
      <c r="P28" s="95">
        <f>IF(INDEX('Final Calculation Sheet'!$O$4:$O$40,$DG28)="","",INDEX('Final Calculation Sheet'!$O$4:$O$40,$DG28))</f>
        <v/>
      </c>
      <c r="Q28" s="95">
        <f>IF(INDEX('Final Calculation Sheet'!$P$4:$P$40,$DG28)="","",INDEX('Final Calculation Sheet'!$P$4:$P$40,$DG28))</f>
        <v/>
      </c>
      <c r="R28" s="97">
        <f>IF(INDEX('Final Calculation Sheet'!$Q$4:$Q$40,$DG28)="","",INDEX('Final Calculation Sheet'!$Q$4:$Q$40,$DG28))</f>
        <v/>
      </c>
      <c r="S28" s="95">
        <f>IF(INDEX('Final Calculation Sheet'!$R$4:$R$40,$DG28)="","",INDEX('Final Calculation Sheet'!$R$4:$R$40,$DG28))</f>
        <v/>
      </c>
      <c r="T28" s="95">
        <f>IF(INDEX('Final Calculation Sheet'!$S$4:$S$40,$DG28)="","",INDEX('Final Calculation Sheet'!$S$4:$S$40,$DG28))</f>
        <v/>
      </c>
      <c r="U28" s="95">
        <f>IF(INDEX('Final Calculation Sheet'!$T$4:$T$40,$DG28)="","",INDEX('Final Calculation Sheet'!$T$4:$T$40,$DG28))</f>
        <v/>
      </c>
      <c r="V28" s="98">
        <f>IF(INDEX('Final Calculation Sheet'!$U$4:$U$40,$DG28)="","",INDEX('Final Calculation Sheet'!$U$4:$U$40,$DG28))</f>
        <v/>
      </c>
      <c r="W28" s="95">
        <f>IF(INDEX('Final Calculation Sheet'!$V$4:$V$40,$DG28)="","",INDEX('Final Calculation Sheet'!$V$4:$V$40,$DG28))</f>
        <v/>
      </c>
      <c r="X28" s="95">
        <f>IF(INDEX('Final Calculation Sheet'!$W$4:$W$40,$DG28)="","",INDEX('Final Calculation Sheet'!$W$4:$W$40,$DG28))</f>
        <v/>
      </c>
      <c r="Y28" s="95">
        <f>IF(INDEX('Final Calculation Sheet'!$X$4:$X$40,$DG28)="","",INDEX('Final Calculation Sheet'!$X$4:$X$40,$DG28))</f>
        <v/>
      </c>
      <c r="Z28" s="95">
        <f>IF(INDEX('Final Calculation Sheet'!$Y$4:$Y$40,$DG28)="","",INDEX('Final Calculation Sheet'!$Y$4:$Y$40,$DG28))</f>
        <v/>
      </c>
      <c r="AA28" s="95">
        <f>IF(INDEX('Final Calculation Sheet'!$Z$4:$Z$40,$DG28)="","",INDEX('Final Calculation Sheet'!$Z$4:$Z$40,$DG28))</f>
        <v/>
      </c>
      <c r="AB28" s="95">
        <f>IF(INDEX('Final Calculation Sheet'!$AA$4:$AA$40,$DG28)="","",INDEX('Final Calculation Sheet'!$AA$4:$AA$40,$DG28))</f>
        <v/>
      </c>
      <c r="AC28" s="95">
        <f>IF(INDEX('Final Calculation Sheet'!$AB$4:$AB$40,$DG28)="","",INDEX('Final Calculation Sheet'!$AB$4:$AB$40,$DG28))</f>
        <v/>
      </c>
      <c r="AD28" s="95">
        <f>IF(INDEX('Final Calculation Sheet'!$AC$4:$AC$40,$DG28)="","",INDEX('Final Calculation Sheet'!$AC$4:$AC$40,$DG28))</f>
        <v/>
      </c>
      <c r="AE28" s="95">
        <f>IF(INDEX('Final Calculation Sheet'!$AD$4:$AD$40,$DG28)="","",INDEX('Final Calculation Sheet'!$AD$4:$AD$40,$DG28))</f>
        <v/>
      </c>
      <c r="AF28" s="100">
        <f>IF(INDEX('Final Calculation Sheet'!$AD$4:$AD$40,$DG28)="","",IF(INDEX('Final Calculation Sheet'!$AD$4:$AD$40,$DG28)&lt;=5,"SETTLED","OUTSTANDING"))</f>
        <v/>
      </c>
      <c r="AG28" s="95">
        <f>IF(INDEX('Final Calculation Sheet'!$AF$4:$AF$40,$DG28)="","",INDEX('Final Calculation Sheet'!$AF$4:$AF$40,$DG28))</f>
        <v/>
      </c>
      <c r="AH28" s="99">
        <f>IF(INDEX('Final Calculation Sheet'!$AG$4:$AG$40,$DG28)="","",INDEX('Final Calculation Sheet'!$AG$4:$AG$40,$DG28))</f>
        <v/>
      </c>
      <c r="AI28" s="95">
        <f>IF(INDEX('Final Calculation Sheet'!$AH$4:$AH$40,$DG28)="","",INDEX('Final Calculation Sheet'!$AH$4:$AH$40,$DG28))</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IF(AJ28,DD28,"")</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c r="DC28">
        <f>IF(COUNTA($B$4:$AI$4)=0,30,IF(AJ35,DE28,$DE$54+18-DE28))</f>
      </c>
      <c r="DD28">
        <f>DD27+IF(AJ28,1,0)</f>
      </c>
      <c r="DE28">
        <f>DE27+IF(AJ35,1,0)</f>
      </c>
      <c r="DF28">
        <v>30</v>
      </c>
      <c r="DG28">
        <f>IF(COUNTA($B$4:$AI$4)=0,30,INDEX($DF$6:$DF$55,MATCH(18,$DC$6:$DC$55,0)))</f>
      </c>
    </row>
    <row r="29" outlineLevel="1" ht="15" customHeight="1" s="137">
      <c r="A29" s="67" t="n">
        <v>13</v>
      </c>
      <c r="B29" s="76">
        <f>IF(INDEX('Final Calculation Sheet'!$F$4:$F$40,$DG29)="","",INDEX('Final Calculation Sheet'!$F$4:$F$40,$DG29))</f>
        <v/>
      </c>
      <c r="C29" s="76">
        <f>IF(INDEX('Final Calculation Sheet'!$G$4:$G$40,$DG29)="","",INDEX('Final Calculation Sheet'!$G$4:$G$40,$DG29))</f>
        <v/>
      </c>
      <c r="D29" s="80">
        <f>IF(INDEX('Final Calculation Sheet'!$B$4:$B$40,$DG29)="","",INDEX('Final Calculation Sheet'!$B$4:$B$40,$DG29))</f>
        <v/>
      </c>
      <c r="E29" s="80">
        <f>IF(INDEX('Final Calculation Sheet'!$D$4:$D$40,$DG29)="","",INDEX('Final Calculation Sheet'!$D$4:$D$40,$DG29))</f>
        <v/>
      </c>
      <c r="F29" s="80">
        <f>IF(INDEX('Final Calculation Sheet'!$A$4:$A$40,$DG29)="","",INDEX('Final Calculation Sheet'!$A$4:$A$40,$DG29))</f>
        <v/>
      </c>
      <c r="G29" s="80">
        <f>IF(INDEX('Final Calculation Sheet'!$E$4:$E$40,$DG29)="","",INDEX('Final Calculation Sheet'!$E$4:$E$40,$DG29))</f>
        <v/>
      </c>
      <c r="H29" s="70">
        <f>IF(INDEX('Final Calculation Sheet'!$C$4:$C$40,$DG29)="","",INDEX('Final Calculation Sheet'!$C$4:$C$40,$DG29))</f>
        <v/>
      </c>
      <c r="I29" s="70">
        <f>IF(INDEX('Final Calculation Sheet'!$H$4:$H$40,$DG29)="","",INDEX('Final Calculation Sheet'!$H$4:$H$40,$DG29))</f>
        <v/>
      </c>
      <c r="J29" s="70">
        <f>IF(INDEX('Final Calculation Sheet'!$I$4:$I$40,$DG29)="","",INDEX('Final Calculation Sheet'!$I$4:$I$40,$DG29))</f>
        <v/>
      </c>
      <c r="K29" s="70">
        <f>IF(INDEX('Final Calculation Sheet'!$J$4:$J$40,$DG29)="","",INDEX('Final Calculation Sheet'!$J$4:$J$40,$DG29))</f>
        <v/>
      </c>
      <c r="L29" s="70">
        <f>IF(INDEX('Final Calculation Sheet'!$K$4:$K$40,$DG29)="","",INDEX('Final Calculation Sheet'!$K$4:$K$40,$DG29))</f>
        <v/>
      </c>
      <c r="M29" s="70">
        <f>IF(INDEX('Final Calculation Sheet'!$L$4:$L$40,$DG29)="","",INDEX('Final Calculation Sheet'!$L$4:$L$40,$DG29))</f>
        <v/>
      </c>
      <c r="N29" s="70">
        <f>IF(INDEX('Final Calculation Sheet'!$M$4:$M$40,$DG29)="","",INDEX('Final Calculation Sheet'!$M$4:$M$40,$DG29))</f>
        <v/>
      </c>
      <c r="O29" s="71">
        <f>IF(INDEX('Final Calculation Sheet'!$N$4:$N$40,$DG29)="","",INDEX('Final Calculation Sheet'!$N$4:$N$40,$DG29))</f>
        <v/>
      </c>
      <c r="P29" s="70">
        <f>IF(INDEX('Final Calculation Sheet'!$O$4:$O$40,$DG29)="","",INDEX('Final Calculation Sheet'!$O$4:$O$40,$DG29))</f>
        <v/>
      </c>
      <c r="Q29" s="70">
        <f>IF(INDEX('Final Calculation Sheet'!$P$4:$P$40,$DG29)="","",INDEX('Final Calculation Sheet'!$P$4:$P$40,$DG29))</f>
        <v/>
      </c>
      <c r="R29" s="72">
        <f>IF(INDEX('Final Calculation Sheet'!$Q$4:$Q$40,$DG29)="","",INDEX('Final Calculation Sheet'!$Q$4:$Q$40,$DG29))</f>
        <v/>
      </c>
      <c r="S29" s="70">
        <f>IF(INDEX('Final Calculation Sheet'!$R$4:$R$40,$DG29)="","",INDEX('Final Calculation Sheet'!$R$4:$R$40,$DG29))</f>
        <v/>
      </c>
      <c r="T29" s="70">
        <f>IF(INDEX('Final Calculation Sheet'!$S$4:$S$40,$DG29)="","",INDEX('Final Calculation Sheet'!$S$4:$S$40,$DG29))</f>
        <v/>
      </c>
      <c r="U29" s="70">
        <f>IF(INDEX('Final Calculation Sheet'!$T$4:$T$40,$DG29)="","",INDEX('Final Calculation Sheet'!$T$4:$T$40,$DG29))</f>
        <v/>
      </c>
      <c r="V29" s="73">
        <f>IF(INDEX('Final Calculation Sheet'!$U$4:$U$40,$DG29)="","",INDEX('Final Calculation Sheet'!$U$4:$U$40,$DG29))</f>
        <v/>
      </c>
      <c r="W29" s="70">
        <f>IF(INDEX('Final Calculation Sheet'!$V$4:$V$40,$DG29)="","",INDEX('Final Calculation Sheet'!$V$4:$V$40,$DG29))</f>
        <v/>
      </c>
      <c r="X29" s="70">
        <f>IF(INDEX('Final Calculation Sheet'!$W$4:$W$40,$DG29)="","",INDEX('Final Calculation Sheet'!$W$4:$W$40,$DG29))</f>
        <v/>
      </c>
      <c r="Y29" s="70">
        <f>IF(INDEX('Final Calculation Sheet'!$X$4:$X$40,$DG29)="","",INDEX('Final Calculation Sheet'!$X$4:$X$40,$DG29))</f>
        <v/>
      </c>
      <c r="Z29" s="70">
        <f>IF(INDEX('Final Calculation Sheet'!$Y$4:$Y$40,$DG29)="","",INDEX('Final Calculation Sheet'!$Y$4:$Y$40,$DG29))</f>
        <v/>
      </c>
      <c r="AA29" s="70">
        <f>IF(INDEX('Final Calculation Sheet'!$Z$4:$Z$40,$DG29)="","",INDEX('Final Calculation Sheet'!$Z$4:$Z$40,$DG29))</f>
        <v/>
      </c>
      <c r="AB29" s="70">
        <f>IF(INDEX('Final Calculation Sheet'!$AA$4:$AA$40,$DG29)="","",INDEX('Final Calculation Sheet'!$AA$4:$AA$40,$DG29))</f>
        <v/>
      </c>
      <c r="AC29" s="70">
        <f>IF(INDEX('Final Calculation Sheet'!$AB$4:$AB$40,$DG29)="","",INDEX('Final Calculation Sheet'!$AB$4:$AB$40,$DG29))</f>
        <v/>
      </c>
      <c r="AD29" s="70">
        <f>IF(INDEX('Final Calculation Sheet'!$AC$4:$AC$40,$DG29)="","",INDEX('Final Calculation Sheet'!$AC$4:$AC$40,$DG29))</f>
        <v/>
      </c>
      <c r="AE29" s="70">
        <f>IF(INDEX('Final Calculation Sheet'!$AD$4:$AD$40,$DG29)="","",INDEX('Final Calculation Sheet'!$AD$4:$AD$40,$DG29))</f>
        <v/>
      </c>
      <c r="AF29" s="75">
        <f>IF(INDEX('Final Calculation Sheet'!$AD$4:$AD$40,$DG29)="","",IF(INDEX('Final Calculation Sheet'!$AD$4:$AD$40,$DG29)&lt;=5,"SETTLED","OUTSTANDING"))</f>
        <v/>
      </c>
      <c r="AG29" s="70">
        <f>IF(INDEX('Final Calculation Sheet'!$AF$4:$AF$40,$DG29)="","",INDEX('Final Calculation Sheet'!$AF$4:$AF$40,$DG29))</f>
        <v/>
      </c>
      <c r="AH29" s="74">
        <f>IF(INDEX('Final Calculation Sheet'!$AG$4:$AG$40,$DG29)="","",INDEX('Final Calculation Sheet'!$AG$4:$AG$40,$DG29))</f>
        <v/>
      </c>
      <c r="AI29" s="70">
        <f>IF(INDEX('Final Calculation Sheet'!$AH$4:$AH$40,$DG29)="","",INDEX('Final Calculation Sheet'!$AH$4:$AH$40,$DG29))</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IF(AJ29,DD29,"")</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c r="DC29">
        <f>IF(COUNTA($B$4:$AI$4)=0,34,IF(AJ39,DE29,$DE$54+19-DE29))</f>
      </c>
      <c r="DD29">
        <f>DD28+IF(AJ29,1,0)</f>
      </c>
      <c r="DE29">
        <f>DE28+IF(AJ39,1,0)</f>
      </c>
      <c r="DF29">
        <v>34</v>
      </c>
      <c r="DG29">
        <f>IF(COUNTA($B$4:$AI$4)=0,34,INDEX($DF$6:$DF$55,MATCH(19,$DC$6:$DC$55,0)))</f>
      </c>
    </row>
    <row r="30" ht="15" customHeight="1" s="137">
      <c r="A30" s="81" t="inlineStr">
        <is>
          <t>∑</t>
        </is>
      </c>
      <c r="B30" s="83" t="n"/>
      <c r="C30" s="83">
        <f>ROWS($C$17:$C$29)&amp;" lot(s)"</f>
        <v/>
      </c>
      <c r="D30" s="83">
        <f>IF(COUNTA($B$4:$AI$4)=0,"SUBTOTAL — NATIONAL ENTERPRISES","SUBTOTAL — rows above")</f>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IF(AJ30,DD30,"")</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c r="DD30">
        <f>DD29+IF(AJ30,1,0)</f>
      </c>
    </row>
    <row r="31" outlineLevel="1" ht="15" customHeight="1" s="137">
      <c r="A31" s="67" t="n">
        <v>1</v>
      </c>
      <c r="B31" s="76">
        <f>IF(INDEX('Final Calculation Sheet'!$F$4:$F$40,$DG31)="","",INDEX('Final Calculation Sheet'!$F$4:$F$40,$DG31))</f>
        <v/>
      </c>
      <c r="C31" s="76">
        <f>IF(INDEX('Final Calculation Sheet'!$G$4:$G$40,$DG31)="","",INDEX('Final Calculation Sheet'!$G$4:$G$40,$DG31))</f>
        <v/>
      </c>
      <c r="D31" s="80">
        <f>IF(INDEX('Final Calculation Sheet'!$B$4:$B$40,$DG31)="","",INDEX('Final Calculation Sheet'!$B$4:$B$40,$DG31))</f>
        <v/>
      </c>
      <c r="E31" s="80">
        <f>IF(INDEX('Final Calculation Sheet'!$D$4:$D$40,$DG31)="","",INDEX('Final Calculation Sheet'!$D$4:$D$40,$DG31))</f>
        <v/>
      </c>
      <c r="F31" s="80">
        <f>IF(INDEX('Final Calculation Sheet'!$A$4:$A$40,$DG31)="","",INDEX('Final Calculation Sheet'!$A$4:$A$40,$DG31))</f>
        <v/>
      </c>
      <c r="G31" s="80">
        <f>IF(INDEX('Final Calculation Sheet'!$E$4:$E$40,$DG31)="","",INDEX('Final Calculation Sheet'!$E$4:$E$40,$DG31))</f>
        <v/>
      </c>
      <c r="H31" s="70">
        <f>IF(INDEX('Final Calculation Sheet'!$C$4:$C$40,$DG31)="","",INDEX('Final Calculation Sheet'!$C$4:$C$40,$DG31))</f>
        <v/>
      </c>
      <c r="I31" s="70">
        <f>IF(INDEX('Final Calculation Sheet'!$H$4:$H$40,$DG31)="","",INDEX('Final Calculation Sheet'!$H$4:$H$40,$DG31))</f>
        <v/>
      </c>
      <c r="J31" s="70">
        <f>IF(INDEX('Final Calculation Sheet'!$I$4:$I$40,$DG31)="","",INDEX('Final Calculation Sheet'!$I$4:$I$40,$DG31))</f>
        <v/>
      </c>
      <c r="K31" s="70">
        <f>IF(INDEX('Final Calculation Sheet'!$J$4:$J$40,$DG31)="","",INDEX('Final Calculation Sheet'!$J$4:$J$40,$DG31))</f>
        <v/>
      </c>
      <c r="L31" s="70">
        <f>IF(INDEX('Final Calculation Sheet'!$K$4:$K$40,$DG31)="","",INDEX('Final Calculation Sheet'!$K$4:$K$40,$DG31))</f>
        <v/>
      </c>
      <c r="M31" s="70">
        <f>IF(INDEX('Final Calculation Sheet'!$L$4:$L$40,$DG31)="","",INDEX('Final Calculation Sheet'!$L$4:$L$40,$DG31))</f>
        <v/>
      </c>
      <c r="N31" s="70">
        <f>IF(INDEX('Final Calculation Sheet'!$M$4:$M$40,$DG31)="","",INDEX('Final Calculation Sheet'!$M$4:$M$40,$DG31))</f>
        <v/>
      </c>
      <c r="O31" s="71">
        <f>IF(INDEX('Final Calculation Sheet'!$N$4:$N$40,$DG31)="","",INDEX('Final Calculation Sheet'!$N$4:$N$40,$DG31))</f>
        <v/>
      </c>
      <c r="P31" s="70">
        <f>IF(INDEX('Final Calculation Sheet'!$O$4:$O$40,$DG31)="","",INDEX('Final Calculation Sheet'!$O$4:$O$40,$DG31))</f>
        <v/>
      </c>
      <c r="Q31" s="70">
        <f>IF(INDEX('Final Calculation Sheet'!$P$4:$P$40,$DG31)="","",INDEX('Final Calculation Sheet'!$P$4:$P$40,$DG31))</f>
        <v/>
      </c>
      <c r="R31" s="72">
        <f>IF(INDEX('Final Calculation Sheet'!$Q$4:$Q$40,$DG31)="","",INDEX('Final Calculation Sheet'!$Q$4:$Q$40,$DG31))</f>
        <v/>
      </c>
      <c r="S31" s="70">
        <f>IF(INDEX('Final Calculation Sheet'!$R$4:$R$40,$DG31)="","",INDEX('Final Calculation Sheet'!$R$4:$R$40,$DG31))</f>
        <v/>
      </c>
      <c r="T31" s="70">
        <f>IF(INDEX('Final Calculation Sheet'!$S$4:$S$40,$DG31)="","",INDEX('Final Calculation Sheet'!$S$4:$S$40,$DG31))</f>
        <v/>
      </c>
      <c r="U31" s="70">
        <f>IF(INDEX('Final Calculation Sheet'!$T$4:$T$40,$DG31)="","",INDEX('Final Calculation Sheet'!$T$4:$T$40,$DG31))</f>
        <v/>
      </c>
      <c r="V31" s="73">
        <f>IF(INDEX('Final Calculation Sheet'!$U$4:$U$40,$DG31)="","",INDEX('Final Calculation Sheet'!$U$4:$U$40,$DG31))</f>
        <v/>
      </c>
      <c r="W31" s="70">
        <f>IF(INDEX('Final Calculation Sheet'!$V$4:$V$40,$DG31)="","",INDEX('Final Calculation Sheet'!$V$4:$V$40,$DG31))</f>
        <v/>
      </c>
      <c r="X31" s="70">
        <f>IF(INDEX('Final Calculation Sheet'!$W$4:$W$40,$DG31)="","",INDEX('Final Calculation Sheet'!$W$4:$W$40,$DG31))</f>
        <v/>
      </c>
      <c r="Y31" s="70">
        <f>IF(INDEX('Final Calculation Sheet'!$X$4:$X$40,$DG31)="","",INDEX('Final Calculation Sheet'!$X$4:$X$40,$DG31))</f>
        <v/>
      </c>
      <c r="Z31" s="70">
        <f>IF(INDEX('Final Calculation Sheet'!$Y$4:$Y$40,$DG31)="","",INDEX('Final Calculation Sheet'!$Y$4:$Y$40,$DG31))</f>
        <v/>
      </c>
      <c r="AA31" s="70">
        <f>IF(INDEX('Final Calculation Sheet'!$Z$4:$Z$40,$DG31)="","",INDEX('Final Calculation Sheet'!$Z$4:$Z$40,$DG31))</f>
        <v/>
      </c>
      <c r="AB31" s="70">
        <f>IF(INDEX('Final Calculation Sheet'!$AA$4:$AA$40,$DG31)="","",INDEX('Final Calculation Sheet'!$AA$4:$AA$40,$DG31))</f>
        <v/>
      </c>
      <c r="AC31" s="70">
        <f>IF(INDEX('Final Calculation Sheet'!$AB$4:$AB$40,$DG31)="","",INDEX('Final Calculation Sheet'!$AB$4:$AB$40,$DG31))</f>
        <v/>
      </c>
      <c r="AD31" s="70">
        <f>IF(INDEX('Final Calculation Sheet'!$AC$4:$AC$40,$DG31)="","",INDEX('Final Calculation Sheet'!$AC$4:$AC$40,$DG31))</f>
        <v/>
      </c>
      <c r="AE31" s="70">
        <f>IF(INDEX('Final Calculation Sheet'!$AD$4:$AD$40,$DG31)="","",INDEX('Final Calculation Sheet'!$AD$4:$AD$40,$DG31))</f>
        <v/>
      </c>
      <c r="AF31" s="75">
        <f>IF(INDEX('Final Calculation Sheet'!$AD$4:$AD$40,$DG31)="","",IF(INDEX('Final Calculation Sheet'!$AD$4:$AD$40,$DG31)&lt;=5,"SETTLED","OUTSTANDING"))</f>
        <v/>
      </c>
      <c r="AG31" s="70">
        <f>IF(INDEX('Final Calculation Sheet'!$AF$4:$AF$40,$DG31)="","",INDEX('Final Calculation Sheet'!$AF$4:$AF$40,$DG31))</f>
        <v/>
      </c>
      <c r="AH31" s="74">
        <f>IF(INDEX('Final Calculation Sheet'!$AG$4:$AG$40,$DG31)="","",INDEX('Final Calculation Sheet'!$AG$4:$AG$40,$DG31))</f>
        <v/>
      </c>
      <c r="AI31" s="70">
        <f>IF(INDEX('Final Calculation Sheet'!$AH$4:$AH$40,$DG31)="","",INDEX('Final Calculation Sheet'!$AH$4:$AH$40,$DG31))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IF(AJ31,DD31,"")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c r="DC31">
        <f>IF(COUNTA($B$4:$AI$4)=0,18,IF(AJ23,DE31,$DE$54+20-DE31))</f>
      </c>
      <c r="DD31">
        <f>DD30+IF(AJ31,1,0)</f>
      </c>
      <c r="DE31">
        <f>DE29+IF(AJ23,1,0)</f>
      </c>
      <c r="DF31">
        <v>18</v>
      </c>
      <c r="DG31">
        <f>IF(COUNTA($B$4:$AI$4)=0,18,INDEX($DF$6:$DF$55,MATCH(20,$DC$6:$DC$55,0)))</f>
      </c>
    </row>
    <row r="32" ht="15" customHeight="1" s="137">
      <c r="A32" s="81" t="inlineStr">
        <is>
          <t>∑</t>
        </is>
      </c>
      <c r="B32" s="83" t="n"/>
      <c r="C32" s="83">
        <f>ROWS($C$31:$C$31)&amp;" lot(s)"</f>
        <v/>
      </c>
      <c r="D32" s="83">
        <f>IF(COUNTA($B$4:$AI$4)=0,"SUBTOTAL — NATIONAL SCRAP AND BUILDING MATERIAL SUPPLIER","SUBTOTAL — rows above")</f>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IF(AJ32,DD32,"")</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c r="DD32">
        <f>DD31+IF(AJ32,1,0)</f>
      </c>
    </row>
    <row r="33" outlineLevel="1" ht="15" customHeight="1" s="137">
      <c r="A33" s="67" t="n">
        <v>1</v>
      </c>
      <c r="B33" s="76">
        <f>IF(INDEX('Final Calculation Sheet'!$F$4:$F$40,$DG33)="","",INDEX('Final Calculation Sheet'!$F$4:$F$40,$DG33))</f>
        <v/>
      </c>
      <c r="C33" s="76">
        <f>IF(INDEX('Final Calculation Sheet'!$G$4:$G$40,$DG33)="","",INDEX('Final Calculation Sheet'!$G$4:$G$40,$DG33))</f>
        <v/>
      </c>
      <c r="D33" s="80">
        <f>IF(INDEX('Final Calculation Sheet'!$B$4:$B$40,$DG33)="","",INDEX('Final Calculation Sheet'!$B$4:$B$40,$DG33))</f>
        <v/>
      </c>
      <c r="E33" s="80">
        <f>IF(INDEX('Final Calculation Sheet'!$D$4:$D$40,$DG33)="","",INDEX('Final Calculation Sheet'!$D$4:$D$40,$DG33))</f>
        <v/>
      </c>
      <c r="F33" s="80">
        <f>IF(INDEX('Final Calculation Sheet'!$A$4:$A$40,$DG33)="","",INDEX('Final Calculation Sheet'!$A$4:$A$40,$DG33))</f>
        <v/>
      </c>
      <c r="G33" s="80">
        <f>IF(INDEX('Final Calculation Sheet'!$E$4:$E$40,$DG33)="","",INDEX('Final Calculation Sheet'!$E$4:$E$40,$DG33))</f>
        <v/>
      </c>
      <c r="H33" s="70">
        <f>IF(INDEX('Final Calculation Sheet'!$C$4:$C$40,$DG33)="","",INDEX('Final Calculation Sheet'!$C$4:$C$40,$DG33))</f>
        <v/>
      </c>
      <c r="I33" s="70">
        <f>IF(INDEX('Final Calculation Sheet'!$H$4:$H$40,$DG33)="","",INDEX('Final Calculation Sheet'!$H$4:$H$40,$DG33))</f>
        <v/>
      </c>
      <c r="J33" s="70">
        <f>IF(INDEX('Final Calculation Sheet'!$I$4:$I$40,$DG33)="","",INDEX('Final Calculation Sheet'!$I$4:$I$40,$DG33))</f>
        <v/>
      </c>
      <c r="K33" s="70">
        <f>IF(INDEX('Final Calculation Sheet'!$J$4:$J$40,$DG33)="","",INDEX('Final Calculation Sheet'!$J$4:$J$40,$DG33))</f>
        <v/>
      </c>
      <c r="L33" s="70">
        <f>IF(INDEX('Final Calculation Sheet'!$K$4:$K$40,$DG33)="","",INDEX('Final Calculation Sheet'!$K$4:$K$40,$DG33))</f>
        <v/>
      </c>
      <c r="M33" s="70">
        <f>IF(INDEX('Final Calculation Sheet'!$L$4:$L$40,$DG33)="","",INDEX('Final Calculation Sheet'!$L$4:$L$40,$DG33))</f>
        <v/>
      </c>
      <c r="N33" s="70">
        <f>IF(INDEX('Final Calculation Sheet'!$M$4:$M$40,$DG33)="","",INDEX('Final Calculation Sheet'!$M$4:$M$40,$DG33))</f>
        <v/>
      </c>
      <c r="O33" s="71">
        <f>IF(INDEX('Final Calculation Sheet'!$N$4:$N$40,$DG33)="","",INDEX('Final Calculation Sheet'!$N$4:$N$40,$DG33))</f>
        <v/>
      </c>
      <c r="P33" s="70">
        <f>IF(INDEX('Final Calculation Sheet'!$O$4:$O$40,$DG33)="","",INDEX('Final Calculation Sheet'!$O$4:$O$40,$DG33))</f>
        <v/>
      </c>
      <c r="Q33" s="70">
        <f>IF(INDEX('Final Calculation Sheet'!$P$4:$P$40,$DG33)="","",INDEX('Final Calculation Sheet'!$P$4:$P$40,$DG33))</f>
        <v/>
      </c>
      <c r="R33" s="72">
        <f>IF(INDEX('Final Calculation Sheet'!$Q$4:$Q$40,$DG33)="","",INDEX('Final Calculation Sheet'!$Q$4:$Q$40,$DG33))</f>
        <v/>
      </c>
      <c r="S33" s="70">
        <f>IF(INDEX('Final Calculation Sheet'!$R$4:$R$40,$DG33)="","",INDEX('Final Calculation Sheet'!$R$4:$R$40,$DG33))</f>
        <v/>
      </c>
      <c r="T33" s="70">
        <f>IF(INDEX('Final Calculation Sheet'!$S$4:$S$40,$DG33)="","",INDEX('Final Calculation Sheet'!$S$4:$S$40,$DG33))</f>
        <v/>
      </c>
      <c r="U33" s="70">
        <f>IF(INDEX('Final Calculation Sheet'!$T$4:$T$40,$DG33)="","",INDEX('Final Calculation Sheet'!$T$4:$T$40,$DG33))</f>
        <v/>
      </c>
      <c r="V33" s="73">
        <f>IF(INDEX('Final Calculation Sheet'!$U$4:$U$40,$DG33)="","",INDEX('Final Calculation Sheet'!$U$4:$U$40,$DG33))</f>
        <v/>
      </c>
      <c r="W33" s="70">
        <f>IF(INDEX('Final Calculation Sheet'!$V$4:$V$40,$DG33)="","",INDEX('Final Calculation Sheet'!$V$4:$V$40,$DG33))</f>
        <v/>
      </c>
      <c r="X33" s="70">
        <f>IF(INDEX('Final Calculation Sheet'!$W$4:$W$40,$DG33)="","",INDEX('Final Calculation Sheet'!$W$4:$W$40,$DG33))</f>
        <v/>
      </c>
      <c r="Y33" s="70">
        <f>IF(INDEX('Final Calculation Sheet'!$X$4:$X$40,$DG33)="","",INDEX('Final Calculation Sheet'!$X$4:$X$40,$DG33))</f>
        <v/>
      </c>
      <c r="Z33" s="70">
        <f>IF(INDEX('Final Calculation Sheet'!$Y$4:$Y$40,$DG33)="","",INDEX('Final Calculation Sheet'!$Y$4:$Y$40,$DG33))</f>
        <v/>
      </c>
      <c r="AA33" s="70">
        <f>IF(INDEX('Final Calculation Sheet'!$Z$4:$Z$40,$DG33)="","",INDEX('Final Calculation Sheet'!$Z$4:$Z$40,$DG33))</f>
        <v/>
      </c>
      <c r="AB33" s="70">
        <f>IF(INDEX('Final Calculation Sheet'!$AA$4:$AA$40,$DG33)="","",INDEX('Final Calculation Sheet'!$AA$4:$AA$40,$DG33))</f>
        <v/>
      </c>
      <c r="AC33" s="70">
        <f>IF(INDEX('Final Calculation Sheet'!$AB$4:$AB$40,$DG33)="","",INDEX('Final Calculation Sheet'!$AB$4:$AB$40,$DG33))</f>
        <v/>
      </c>
      <c r="AD33" s="70">
        <f>IF(INDEX('Final Calculation Sheet'!$AC$4:$AC$40,$DG33)="","",INDEX('Final Calculation Sheet'!$AC$4:$AC$40,$DG33))</f>
        <v/>
      </c>
      <c r="AE33" s="70">
        <f>IF(INDEX('Final Calculation Sheet'!$AD$4:$AD$40,$DG33)="","",INDEX('Final Calculation Sheet'!$AD$4:$AD$40,$DG33))</f>
        <v/>
      </c>
      <c r="AF33" s="75">
        <f>IF(INDEX('Final Calculation Sheet'!$AD$4:$AD$40,$DG33)="","",IF(INDEX('Final Calculation Sheet'!$AD$4:$AD$40,$DG33)&lt;=5,"SETTLED","OUTSTANDING"))</f>
        <v/>
      </c>
      <c r="AG33" s="70">
        <f>IF(INDEX('Final Calculation Sheet'!$AF$4:$AF$40,$DG33)="","",INDEX('Final Calculation Sheet'!$AF$4:$AF$40,$DG33))</f>
        <v/>
      </c>
      <c r="AH33" s="74">
        <f>IF(INDEX('Final Calculation Sheet'!$AG$4:$AG$40,$DG33)="","",INDEX('Final Calculation Sheet'!$AG$4:$AG$40,$DG33))</f>
        <v/>
      </c>
      <c r="AI33" s="70">
        <f>IF(INDEX('Final Calculation Sheet'!$AH$4:$AH$40,$DG33)="","",INDEX('Final Calculation Sheet'!$AH$4:$AH$40,$DG33))</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IF(AJ33,DD33,"")</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c r="DC33">
        <f>IF(COUNTA($B$4:$AI$4)=0,5,IF(AJ10,DE33,$DE$54+21-DE33))</f>
      </c>
      <c r="DD33">
        <f>DD32+IF(AJ33,1,0)</f>
      </c>
      <c r="DE33">
        <f>DE31+IF(AJ10,1,0)</f>
      </c>
      <c r="DF33">
        <v>5</v>
      </c>
      <c r="DG33">
        <f>IF(COUNTA($B$4:$AI$4)=0,5,INDEX($DF$6:$DF$55,MATCH(21,$DC$6:$DC$55,0)))</f>
      </c>
    </row>
    <row r="34" outlineLevel="1" ht="15" customHeight="1" s="137">
      <c r="A34" s="90" t="n">
        <v>2</v>
      </c>
      <c r="B34" s="92">
        <f>IF(INDEX('Final Calculation Sheet'!$F$4:$F$40,$DG34)="","",INDEX('Final Calculation Sheet'!$F$4:$F$40,$DG34))</f>
        <v/>
      </c>
      <c r="C34" s="92">
        <f>IF(INDEX('Final Calculation Sheet'!$G$4:$G$40,$DG34)="","",INDEX('Final Calculation Sheet'!$G$4:$G$40,$DG34))</f>
        <v/>
      </c>
      <c r="D34" s="94">
        <f>IF(INDEX('Final Calculation Sheet'!$B$4:$B$40,$DG34)="","",INDEX('Final Calculation Sheet'!$B$4:$B$40,$DG34))</f>
        <v/>
      </c>
      <c r="E34" s="94">
        <f>IF(INDEX('Final Calculation Sheet'!$D$4:$D$40,$DG34)="","",INDEX('Final Calculation Sheet'!$D$4:$D$40,$DG34))</f>
        <v/>
      </c>
      <c r="F34" s="94">
        <f>IF(INDEX('Final Calculation Sheet'!$A$4:$A$40,$DG34)="","",INDEX('Final Calculation Sheet'!$A$4:$A$40,$DG34))</f>
        <v/>
      </c>
      <c r="G34" s="94">
        <f>IF(INDEX('Final Calculation Sheet'!$E$4:$E$40,$DG34)="","",INDEX('Final Calculation Sheet'!$E$4:$E$40,$DG34))</f>
        <v/>
      </c>
      <c r="H34" s="95">
        <f>IF(INDEX('Final Calculation Sheet'!$C$4:$C$40,$DG34)="","",INDEX('Final Calculation Sheet'!$C$4:$C$40,$DG34))</f>
        <v/>
      </c>
      <c r="I34" s="95">
        <f>IF(INDEX('Final Calculation Sheet'!$H$4:$H$40,$DG34)="","",INDEX('Final Calculation Sheet'!$H$4:$H$40,$DG34))</f>
        <v/>
      </c>
      <c r="J34" s="95">
        <f>IF(INDEX('Final Calculation Sheet'!$I$4:$I$40,$DG34)="","",INDEX('Final Calculation Sheet'!$I$4:$I$40,$DG34))</f>
        <v/>
      </c>
      <c r="K34" s="95">
        <f>IF(INDEX('Final Calculation Sheet'!$J$4:$J$40,$DG34)="","",INDEX('Final Calculation Sheet'!$J$4:$J$40,$DG34))</f>
        <v/>
      </c>
      <c r="L34" s="95">
        <f>IF(INDEX('Final Calculation Sheet'!$K$4:$K$40,$DG34)="","",INDEX('Final Calculation Sheet'!$K$4:$K$40,$DG34))</f>
        <v/>
      </c>
      <c r="M34" s="95">
        <f>IF(INDEX('Final Calculation Sheet'!$L$4:$L$40,$DG34)="","",INDEX('Final Calculation Sheet'!$L$4:$L$40,$DG34))</f>
        <v/>
      </c>
      <c r="N34" s="95">
        <f>IF(INDEX('Final Calculation Sheet'!$M$4:$M$40,$DG34)="","",INDEX('Final Calculation Sheet'!$M$4:$M$40,$DG34))</f>
        <v/>
      </c>
      <c r="O34" s="96">
        <f>IF(INDEX('Final Calculation Sheet'!$N$4:$N$40,$DG34)="","",INDEX('Final Calculation Sheet'!$N$4:$N$40,$DG34))</f>
        <v/>
      </c>
      <c r="P34" s="95">
        <f>IF(INDEX('Final Calculation Sheet'!$O$4:$O$40,$DG34)="","",INDEX('Final Calculation Sheet'!$O$4:$O$40,$DG34))</f>
        <v/>
      </c>
      <c r="Q34" s="95">
        <f>IF(INDEX('Final Calculation Sheet'!$P$4:$P$40,$DG34)="","",INDEX('Final Calculation Sheet'!$P$4:$P$40,$DG34))</f>
        <v/>
      </c>
      <c r="R34" s="97">
        <f>IF(INDEX('Final Calculation Sheet'!$Q$4:$Q$40,$DG34)="","",INDEX('Final Calculation Sheet'!$Q$4:$Q$40,$DG34))</f>
        <v/>
      </c>
      <c r="S34" s="95">
        <f>IF(INDEX('Final Calculation Sheet'!$R$4:$R$40,$DG34)="","",INDEX('Final Calculation Sheet'!$R$4:$R$40,$DG34))</f>
        <v/>
      </c>
      <c r="T34" s="95">
        <f>IF(INDEX('Final Calculation Sheet'!$S$4:$S$40,$DG34)="","",INDEX('Final Calculation Sheet'!$S$4:$S$40,$DG34))</f>
        <v/>
      </c>
      <c r="U34" s="95">
        <f>IF(INDEX('Final Calculation Sheet'!$T$4:$T$40,$DG34)="","",INDEX('Final Calculation Sheet'!$T$4:$T$40,$DG34))</f>
        <v/>
      </c>
      <c r="V34" s="98">
        <f>IF(INDEX('Final Calculation Sheet'!$U$4:$U$40,$DG34)="","",INDEX('Final Calculation Sheet'!$U$4:$U$40,$DG34))</f>
        <v/>
      </c>
      <c r="W34" s="95">
        <f>IF(INDEX('Final Calculation Sheet'!$V$4:$V$40,$DG34)="","",INDEX('Final Calculation Sheet'!$V$4:$V$40,$DG34))</f>
        <v/>
      </c>
      <c r="X34" s="95">
        <f>IF(INDEX('Final Calculation Sheet'!$W$4:$W$40,$DG34)="","",INDEX('Final Calculation Sheet'!$W$4:$W$40,$DG34))</f>
        <v/>
      </c>
      <c r="Y34" s="95">
        <f>IF(INDEX('Final Calculation Sheet'!$X$4:$X$40,$DG34)="","",INDEX('Final Calculation Sheet'!$X$4:$X$40,$DG34))</f>
        <v/>
      </c>
      <c r="Z34" s="95">
        <f>IF(INDEX('Final Calculation Sheet'!$Y$4:$Y$40,$DG34)="","",INDEX('Final Calculation Sheet'!$Y$4:$Y$40,$DG34))</f>
        <v/>
      </c>
      <c r="AA34" s="95">
        <f>IF(INDEX('Final Calculation Sheet'!$Z$4:$Z$40,$DG34)="","",INDEX('Final Calculation Sheet'!$Z$4:$Z$40,$DG34))</f>
        <v/>
      </c>
      <c r="AB34" s="95">
        <f>IF(INDEX('Final Calculation Sheet'!$AA$4:$AA$40,$DG34)="","",INDEX('Final Calculation Sheet'!$AA$4:$AA$40,$DG34))</f>
        <v/>
      </c>
      <c r="AC34" s="95">
        <f>IF(INDEX('Final Calculation Sheet'!$AB$4:$AB$40,$DG34)="","",INDEX('Final Calculation Sheet'!$AB$4:$AB$40,$DG34))</f>
        <v/>
      </c>
      <c r="AD34" s="95">
        <f>IF(INDEX('Final Calculation Sheet'!$AC$4:$AC$40,$DG34)="","",INDEX('Final Calculation Sheet'!$AC$4:$AC$40,$DG34))</f>
        <v/>
      </c>
      <c r="AE34" s="95">
        <f>IF(INDEX('Final Calculation Sheet'!$AD$4:$AD$40,$DG34)="","",INDEX('Final Calculation Sheet'!$AD$4:$AD$40,$DG34))</f>
        <v/>
      </c>
      <c r="AF34" s="100">
        <f>IF(INDEX('Final Calculation Sheet'!$AD$4:$AD$40,$DG34)="","",IF(INDEX('Final Calculation Sheet'!$AD$4:$AD$40,$DG34)&lt;=5,"SETTLED","OUTSTANDING"))</f>
        <v/>
      </c>
      <c r="AG34" s="95">
        <f>IF(INDEX('Final Calculation Sheet'!$AF$4:$AF$40,$DG34)="","",INDEX('Final Calculation Sheet'!$AF$4:$AF$40,$DG34))</f>
        <v/>
      </c>
      <c r="AH34" s="99">
        <f>IF(INDEX('Final Calculation Sheet'!$AG$4:$AG$40,$DG34)="","",INDEX('Final Calculation Sheet'!$AG$4:$AG$40,$DG34))</f>
        <v/>
      </c>
      <c r="AI34" s="95">
        <f>IF(INDEX('Final Calculation Sheet'!$AH$4:$AH$40,$DG34)="","",INDEX('Final Calculation Sheet'!$AH$4:$AH$40,$DG34))</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IF(AJ34,DD34,"")</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c r="DC34">
        <f>IF(COUNTA($B$4:$AI$4)=0,17,IF(AJ22,DE34,$DE$54+22-DE34))</f>
      </c>
      <c r="DD34">
        <f>DD33+IF(AJ34,1,0)</f>
      </c>
      <c r="DE34">
        <f>DE33+IF(AJ22,1,0)</f>
      </c>
      <c r="DF34">
        <v>17</v>
      </c>
      <c r="DG34">
        <f>IF(COUNTA($B$4:$AI$4)=0,17,INDEX($DF$6:$DF$55,MATCH(22,$DC$6:$DC$55,0)))</f>
      </c>
    </row>
    <row r="35" ht="15" customHeight="1" s="137">
      <c r="A35" s="81" t="inlineStr">
        <is>
          <t>∑</t>
        </is>
      </c>
      <c r="B35" s="83" t="n"/>
      <c r="C35" s="83">
        <f>ROWS($C$33:$C$34)&amp;" lot(s)"</f>
        <v/>
      </c>
      <c r="D35" s="83">
        <f>IF(COUNTA($B$4:$AI$4)=0,"SUBTOTAL — OMKAR STEELS","SUBTOTAL — rows above")</f>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IF(AJ35,DD35,"")</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c r="DD35">
        <f>DD34+IF(AJ35,1,0)</f>
      </c>
    </row>
    <row r="36" outlineLevel="1" ht="15" customHeight="1" s="137">
      <c r="A36" s="67" t="n">
        <v>1</v>
      </c>
      <c r="B36" s="76">
        <f>IF(INDEX('Final Calculation Sheet'!$F$4:$F$40,$DG36)="","",INDEX('Final Calculation Sheet'!$F$4:$F$40,$DG36))</f>
        <v/>
      </c>
      <c r="C36" s="76">
        <f>IF(INDEX('Final Calculation Sheet'!$G$4:$G$40,$DG36)="","",INDEX('Final Calculation Sheet'!$G$4:$G$40,$DG36))</f>
        <v/>
      </c>
      <c r="D36" s="80">
        <f>IF(INDEX('Final Calculation Sheet'!$B$4:$B$40,$DG36)="","",INDEX('Final Calculation Sheet'!$B$4:$B$40,$DG36))</f>
        <v/>
      </c>
      <c r="E36" s="80">
        <f>IF(INDEX('Final Calculation Sheet'!$D$4:$D$40,$DG36)="","",INDEX('Final Calculation Sheet'!$D$4:$D$40,$DG36))</f>
        <v/>
      </c>
      <c r="F36" s="80">
        <f>IF(INDEX('Final Calculation Sheet'!$A$4:$A$40,$DG36)="","",INDEX('Final Calculation Sheet'!$A$4:$A$40,$DG36))</f>
        <v/>
      </c>
      <c r="G36" s="80">
        <f>IF(INDEX('Final Calculation Sheet'!$E$4:$E$40,$DG36)="","",INDEX('Final Calculation Sheet'!$E$4:$E$40,$DG36))</f>
        <v/>
      </c>
      <c r="H36" s="70">
        <f>IF(INDEX('Final Calculation Sheet'!$C$4:$C$40,$DG36)="","",INDEX('Final Calculation Sheet'!$C$4:$C$40,$DG36))</f>
        <v/>
      </c>
      <c r="I36" s="70">
        <f>IF(INDEX('Final Calculation Sheet'!$H$4:$H$40,$DG36)="","",INDEX('Final Calculation Sheet'!$H$4:$H$40,$DG36))</f>
        <v/>
      </c>
      <c r="J36" s="70">
        <f>IF(INDEX('Final Calculation Sheet'!$I$4:$I$40,$DG36)="","",INDEX('Final Calculation Sheet'!$I$4:$I$40,$DG36))</f>
        <v/>
      </c>
      <c r="K36" s="70">
        <f>IF(INDEX('Final Calculation Sheet'!$J$4:$J$40,$DG36)="","",INDEX('Final Calculation Sheet'!$J$4:$J$40,$DG36))</f>
        <v/>
      </c>
      <c r="L36" s="70">
        <f>IF(INDEX('Final Calculation Sheet'!$K$4:$K$40,$DG36)="","",INDEX('Final Calculation Sheet'!$K$4:$K$40,$DG36))</f>
        <v/>
      </c>
      <c r="M36" s="70">
        <f>IF(INDEX('Final Calculation Sheet'!$L$4:$L$40,$DG36)="","",INDEX('Final Calculation Sheet'!$L$4:$L$40,$DG36))</f>
        <v/>
      </c>
      <c r="N36" s="70">
        <f>IF(INDEX('Final Calculation Sheet'!$M$4:$M$40,$DG36)="","",INDEX('Final Calculation Sheet'!$M$4:$M$40,$DG36))</f>
        <v/>
      </c>
      <c r="O36" s="71">
        <f>IF(INDEX('Final Calculation Sheet'!$N$4:$N$40,$DG36)="","",INDEX('Final Calculation Sheet'!$N$4:$N$40,$DG36))</f>
        <v/>
      </c>
      <c r="P36" s="70">
        <f>IF(INDEX('Final Calculation Sheet'!$O$4:$O$40,$DG36)="","",INDEX('Final Calculation Sheet'!$O$4:$O$40,$DG36))</f>
        <v/>
      </c>
      <c r="Q36" s="70">
        <f>IF(INDEX('Final Calculation Sheet'!$P$4:$P$40,$DG36)="","",INDEX('Final Calculation Sheet'!$P$4:$P$40,$DG36))</f>
        <v/>
      </c>
      <c r="R36" s="72">
        <f>IF(INDEX('Final Calculation Sheet'!$Q$4:$Q$40,$DG36)="","",INDEX('Final Calculation Sheet'!$Q$4:$Q$40,$DG36))</f>
        <v/>
      </c>
      <c r="S36" s="70">
        <f>IF(INDEX('Final Calculation Sheet'!$R$4:$R$40,$DG36)="","",INDEX('Final Calculation Sheet'!$R$4:$R$40,$DG36))</f>
        <v/>
      </c>
      <c r="T36" s="70">
        <f>IF(INDEX('Final Calculation Sheet'!$S$4:$S$40,$DG36)="","",INDEX('Final Calculation Sheet'!$S$4:$S$40,$DG36))</f>
        <v/>
      </c>
      <c r="U36" s="70">
        <f>IF(INDEX('Final Calculation Sheet'!$T$4:$T$40,$DG36)="","",INDEX('Final Calculation Sheet'!$T$4:$T$40,$DG36))</f>
        <v/>
      </c>
      <c r="V36" s="73">
        <f>IF(INDEX('Final Calculation Sheet'!$U$4:$U$40,$DG36)="","",INDEX('Final Calculation Sheet'!$U$4:$U$40,$DG36))</f>
        <v/>
      </c>
      <c r="W36" s="70">
        <f>IF(INDEX('Final Calculation Sheet'!$V$4:$V$40,$DG36)="","",INDEX('Final Calculation Sheet'!$V$4:$V$40,$DG36))</f>
        <v/>
      </c>
      <c r="X36" s="70">
        <f>IF(INDEX('Final Calculation Sheet'!$W$4:$W$40,$DG36)="","",INDEX('Final Calculation Sheet'!$W$4:$W$40,$DG36))</f>
        <v/>
      </c>
      <c r="Y36" s="70">
        <f>IF(INDEX('Final Calculation Sheet'!$X$4:$X$40,$DG36)="","",INDEX('Final Calculation Sheet'!$X$4:$X$40,$DG36))</f>
        <v/>
      </c>
      <c r="Z36" s="70">
        <f>IF(INDEX('Final Calculation Sheet'!$Y$4:$Y$40,$DG36)="","",INDEX('Final Calculation Sheet'!$Y$4:$Y$40,$DG36))</f>
        <v/>
      </c>
      <c r="AA36" s="70">
        <f>IF(INDEX('Final Calculation Sheet'!$Z$4:$Z$40,$DG36)="","",INDEX('Final Calculation Sheet'!$Z$4:$Z$40,$DG36))</f>
        <v/>
      </c>
      <c r="AB36" s="70">
        <f>IF(INDEX('Final Calculation Sheet'!$AA$4:$AA$40,$DG36)="","",INDEX('Final Calculation Sheet'!$AA$4:$AA$40,$DG36))</f>
        <v/>
      </c>
      <c r="AC36" s="70">
        <f>IF(INDEX('Final Calculation Sheet'!$AB$4:$AB$40,$DG36)="","",INDEX('Final Calculation Sheet'!$AB$4:$AB$40,$DG36))</f>
        <v/>
      </c>
      <c r="AD36" s="70">
        <f>IF(INDEX('Final Calculation Sheet'!$AC$4:$AC$40,$DG36)="","",INDEX('Final Calculation Sheet'!$AC$4:$AC$40,$DG36))</f>
        <v/>
      </c>
      <c r="AE36" s="70">
        <f>IF(INDEX('Final Calculation Sheet'!$AD$4:$AD$40,$DG36)="","",INDEX('Final Calculation Sheet'!$AD$4:$AD$40,$DG36))</f>
        <v/>
      </c>
      <c r="AF36" s="75">
        <f>IF(INDEX('Final Calculation Sheet'!$AD$4:$AD$40,$DG36)="","",IF(INDEX('Final Calculation Sheet'!$AD$4:$AD$40,$DG36)&lt;=5,"SETTLED","OUTSTANDING"))</f>
        <v/>
      </c>
      <c r="AG36" s="70">
        <f>IF(INDEX('Final Calculation Sheet'!$AF$4:$AF$40,$DG36)="","",INDEX('Final Calculation Sheet'!$AF$4:$AF$40,$DG36))</f>
        <v/>
      </c>
      <c r="AH36" s="74">
        <f>IF(INDEX('Final Calculation Sheet'!$AG$4:$AG$40,$DG36)="","",INDEX('Final Calculation Sheet'!$AG$4:$AG$40,$DG36))</f>
        <v/>
      </c>
      <c r="AI36" s="70">
        <f>IF(INDEX('Final Calculation Sheet'!$AH$4:$AH$40,$DG36)="","",INDEX('Final Calculation Sheet'!$AH$4:$AH$40,$DG36))</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IF(AJ36,DD36,"")</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c r="DC36">
        <f>IF(COUNTA($B$4:$AI$4)=0,36,IF(AJ41,DE36,$DE$54+23-DE36))</f>
      </c>
      <c r="DD36">
        <f>DD35+IF(AJ36,1,0)</f>
      </c>
      <c r="DE36">
        <f>DE34+IF(AJ41,1,0)</f>
      </c>
      <c r="DF36">
        <v>36</v>
      </c>
      <c r="DG36">
        <f>IF(COUNTA($B$4:$AI$4)=0,36,INDEX($DF$6:$DF$55,MATCH(23,$DC$6:$DC$55,0)))</f>
      </c>
    </row>
    <row r="37" outlineLevel="1" ht="15" customHeight="1" s="137">
      <c r="A37" s="90" t="n">
        <v>2</v>
      </c>
      <c r="B37" s="92">
        <f>IF(INDEX('Final Calculation Sheet'!$F$4:$F$40,$DG37)="","",INDEX('Final Calculation Sheet'!$F$4:$F$40,$DG37))</f>
        <v/>
      </c>
      <c r="C37" s="92">
        <f>IF(INDEX('Final Calculation Sheet'!$G$4:$G$40,$DG37)="","",INDEX('Final Calculation Sheet'!$G$4:$G$40,$DG37))</f>
        <v/>
      </c>
      <c r="D37" s="94">
        <f>IF(INDEX('Final Calculation Sheet'!$B$4:$B$40,$DG37)="","",INDEX('Final Calculation Sheet'!$B$4:$B$40,$DG37))</f>
        <v/>
      </c>
      <c r="E37" s="94">
        <f>IF(INDEX('Final Calculation Sheet'!$D$4:$D$40,$DG37)="","",INDEX('Final Calculation Sheet'!$D$4:$D$40,$DG37))</f>
        <v/>
      </c>
      <c r="F37" s="94">
        <f>IF(INDEX('Final Calculation Sheet'!$A$4:$A$40,$DG37)="","",INDEX('Final Calculation Sheet'!$A$4:$A$40,$DG37))</f>
        <v/>
      </c>
      <c r="G37" s="94">
        <f>IF(INDEX('Final Calculation Sheet'!$E$4:$E$40,$DG37)="","",INDEX('Final Calculation Sheet'!$E$4:$E$40,$DG37))</f>
        <v/>
      </c>
      <c r="H37" s="95">
        <f>IF(INDEX('Final Calculation Sheet'!$C$4:$C$40,$DG37)="","",INDEX('Final Calculation Sheet'!$C$4:$C$40,$DG37))</f>
        <v/>
      </c>
      <c r="I37" s="95">
        <f>IF(INDEX('Final Calculation Sheet'!$H$4:$H$40,$DG37)="","",INDEX('Final Calculation Sheet'!$H$4:$H$40,$DG37))</f>
        <v/>
      </c>
      <c r="J37" s="95">
        <f>IF(INDEX('Final Calculation Sheet'!$I$4:$I$40,$DG37)="","",INDEX('Final Calculation Sheet'!$I$4:$I$40,$DG37))</f>
        <v/>
      </c>
      <c r="K37" s="95">
        <f>IF(INDEX('Final Calculation Sheet'!$J$4:$J$40,$DG37)="","",INDEX('Final Calculation Sheet'!$J$4:$J$40,$DG37))</f>
        <v/>
      </c>
      <c r="L37" s="95">
        <f>IF(INDEX('Final Calculation Sheet'!$K$4:$K$40,$DG37)="","",INDEX('Final Calculation Sheet'!$K$4:$K$40,$DG37))</f>
        <v/>
      </c>
      <c r="M37" s="95">
        <f>IF(INDEX('Final Calculation Sheet'!$L$4:$L$40,$DG37)="","",INDEX('Final Calculation Sheet'!$L$4:$L$40,$DG37))</f>
        <v/>
      </c>
      <c r="N37" s="95">
        <f>IF(INDEX('Final Calculation Sheet'!$M$4:$M$40,$DG37)="","",INDEX('Final Calculation Sheet'!$M$4:$M$40,$DG37))</f>
        <v/>
      </c>
      <c r="O37" s="96">
        <f>IF(INDEX('Final Calculation Sheet'!$N$4:$N$40,$DG37)="","",INDEX('Final Calculation Sheet'!$N$4:$N$40,$DG37))</f>
        <v/>
      </c>
      <c r="P37" s="95">
        <f>IF(INDEX('Final Calculation Sheet'!$O$4:$O$40,$DG37)="","",INDEX('Final Calculation Sheet'!$O$4:$O$40,$DG37))</f>
        <v/>
      </c>
      <c r="Q37" s="95">
        <f>IF(INDEX('Final Calculation Sheet'!$P$4:$P$40,$DG37)="","",INDEX('Final Calculation Sheet'!$P$4:$P$40,$DG37))</f>
        <v/>
      </c>
      <c r="R37" s="97">
        <f>IF(INDEX('Final Calculation Sheet'!$Q$4:$Q$40,$DG37)="","",INDEX('Final Calculation Sheet'!$Q$4:$Q$40,$DG37))</f>
        <v/>
      </c>
      <c r="S37" s="95">
        <f>IF(INDEX('Final Calculation Sheet'!$R$4:$R$40,$DG37)="","",INDEX('Final Calculation Sheet'!$R$4:$R$40,$DG37))</f>
        <v/>
      </c>
      <c r="T37" s="95">
        <f>IF(INDEX('Final Calculation Sheet'!$S$4:$S$40,$DG37)="","",INDEX('Final Calculation Sheet'!$S$4:$S$40,$DG37))</f>
        <v/>
      </c>
      <c r="U37" s="95">
        <f>IF(INDEX('Final Calculation Sheet'!$T$4:$T$40,$DG37)="","",INDEX('Final Calculation Sheet'!$T$4:$T$40,$DG37))</f>
        <v/>
      </c>
      <c r="V37" s="98">
        <f>IF(INDEX('Final Calculation Sheet'!$U$4:$U$40,$DG37)="","",INDEX('Final Calculation Sheet'!$U$4:$U$40,$DG37))</f>
        <v/>
      </c>
      <c r="W37" s="95">
        <f>IF(INDEX('Final Calculation Sheet'!$V$4:$V$40,$DG37)="","",INDEX('Final Calculation Sheet'!$V$4:$V$40,$DG37))</f>
        <v/>
      </c>
      <c r="X37" s="95">
        <f>IF(INDEX('Final Calculation Sheet'!$W$4:$W$40,$DG37)="","",INDEX('Final Calculation Sheet'!$W$4:$W$40,$DG37))</f>
        <v/>
      </c>
      <c r="Y37" s="95">
        <f>IF(INDEX('Final Calculation Sheet'!$X$4:$X$40,$DG37)="","",INDEX('Final Calculation Sheet'!$X$4:$X$40,$DG37))</f>
        <v/>
      </c>
      <c r="Z37" s="95">
        <f>IF(INDEX('Final Calculation Sheet'!$Y$4:$Y$40,$DG37)="","",INDEX('Final Calculation Sheet'!$Y$4:$Y$40,$DG37))</f>
        <v/>
      </c>
      <c r="AA37" s="95">
        <f>IF(INDEX('Final Calculation Sheet'!$Z$4:$Z$40,$DG37)="","",INDEX('Final Calculation Sheet'!$Z$4:$Z$40,$DG37))</f>
        <v/>
      </c>
      <c r="AB37" s="95">
        <f>IF(INDEX('Final Calculation Sheet'!$AA$4:$AA$40,$DG37)="","",INDEX('Final Calculation Sheet'!$AA$4:$AA$40,$DG37))</f>
        <v/>
      </c>
      <c r="AC37" s="95">
        <f>IF(INDEX('Final Calculation Sheet'!$AB$4:$AB$40,$DG37)="","",INDEX('Final Calculation Sheet'!$AB$4:$AB$40,$DG37))</f>
        <v/>
      </c>
      <c r="AD37" s="95">
        <f>IF(INDEX('Final Calculation Sheet'!$AC$4:$AC$40,$DG37)="","",INDEX('Final Calculation Sheet'!$AC$4:$AC$40,$DG37))</f>
        <v/>
      </c>
      <c r="AE37" s="95">
        <f>IF(INDEX('Final Calculation Sheet'!$AD$4:$AD$40,$DG37)="","",INDEX('Final Calculation Sheet'!$AD$4:$AD$40,$DG37))</f>
        <v/>
      </c>
      <c r="AF37" s="100">
        <f>IF(INDEX('Final Calculation Sheet'!$AD$4:$AD$40,$DG37)="","",IF(INDEX('Final Calculation Sheet'!$AD$4:$AD$40,$DG37)&lt;=5,"SETTLED","OUTSTANDING"))</f>
        <v/>
      </c>
      <c r="AG37" s="95">
        <f>IF(INDEX('Final Calculation Sheet'!$AF$4:$AF$40,$DG37)="","",INDEX('Final Calculation Sheet'!$AF$4:$AF$40,$DG37))</f>
        <v/>
      </c>
      <c r="AH37" s="99">
        <f>IF(INDEX('Final Calculation Sheet'!$AG$4:$AG$40,$DG37)="","",INDEX('Final Calculation Sheet'!$AG$4:$AG$40,$DG37))</f>
        <v/>
      </c>
      <c r="AI37" s="95">
        <f>IF(INDEX('Final Calculation Sheet'!$AH$4:$AH$40,$DG37)="","",INDEX('Final Calculation Sheet'!$AH$4:$AH$40,$DG37))</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IF(AJ37,DD37,"")</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c r="DC37">
        <f>IF(COUNTA($B$4:$AI$4)=0,37,IF(AJ42,DE37,$DE$54+24-DE37))</f>
      </c>
      <c r="DD37">
        <f>DD36+IF(AJ37,1,0)</f>
      </c>
      <c r="DE37">
        <f>DE36+IF(AJ42,1,0)</f>
      </c>
      <c r="DF37">
        <v>37</v>
      </c>
      <c r="DG37">
        <f>IF(COUNTA($B$4:$AI$4)=0,37,INDEX($DF$6:$DF$55,MATCH(24,$DC$6:$DC$55,0)))</f>
      </c>
    </row>
    <row r="38" ht="15" customHeight="1" s="137">
      <c r="A38" s="81" t="inlineStr">
        <is>
          <t>∑</t>
        </is>
      </c>
      <c r="B38" s="83" t="n"/>
      <c r="C38" s="83">
        <f>ROWS($C$36:$C$37)&amp;" lot(s)"</f>
        <v/>
      </c>
      <c r="D38" s="83">
        <f>IF(COUNTA($B$4:$AI$4)=0,"SUBTOTAL — S M ENTERPRISES","SUBTOTAL — rows above")</f>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IF(AJ38,DD38,"")</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c r="DD38">
        <f>DD37+IF(AJ38,1,0)</f>
      </c>
    </row>
    <row r="39" outlineLevel="1" ht="15" customHeight="1" s="137">
      <c r="A39" s="67" t="n">
        <v>1</v>
      </c>
      <c r="B39" s="76">
        <f>IF(INDEX('Final Calculation Sheet'!$F$4:$F$40,$DG39)="","",INDEX('Final Calculation Sheet'!$F$4:$F$40,$DG39))</f>
        <v/>
      </c>
      <c r="C39" s="76">
        <f>IF(INDEX('Final Calculation Sheet'!$G$4:$G$40,$DG39)="","",INDEX('Final Calculation Sheet'!$G$4:$G$40,$DG39))</f>
        <v/>
      </c>
      <c r="D39" s="80">
        <f>IF(INDEX('Final Calculation Sheet'!$B$4:$B$40,$DG39)="","",INDEX('Final Calculation Sheet'!$B$4:$B$40,$DG39))</f>
        <v/>
      </c>
      <c r="E39" s="80">
        <f>IF(INDEX('Final Calculation Sheet'!$D$4:$D$40,$DG39)="","",INDEX('Final Calculation Sheet'!$D$4:$D$40,$DG39))</f>
        <v/>
      </c>
      <c r="F39" s="80">
        <f>IF(INDEX('Final Calculation Sheet'!$A$4:$A$40,$DG39)="","",INDEX('Final Calculation Sheet'!$A$4:$A$40,$DG39))</f>
        <v/>
      </c>
      <c r="G39" s="80">
        <f>IF(INDEX('Final Calculation Sheet'!$E$4:$E$40,$DG39)="","",INDEX('Final Calculation Sheet'!$E$4:$E$40,$DG39))</f>
        <v/>
      </c>
      <c r="H39" s="70">
        <f>IF(INDEX('Final Calculation Sheet'!$C$4:$C$40,$DG39)="","",INDEX('Final Calculation Sheet'!$C$4:$C$40,$DG39))</f>
        <v/>
      </c>
      <c r="I39" s="70">
        <f>IF(INDEX('Final Calculation Sheet'!$H$4:$H$40,$DG39)="","",INDEX('Final Calculation Sheet'!$H$4:$H$40,$DG39))</f>
        <v/>
      </c>
      <c r="J39" s="70">
        <f>IF(INDEX('Final Calculation Sheet'!$I$4:$I$40,$DG39)="","",INDEX('Final Calculation Sheet'!$I$4:$I$40,$DG39))</f>
        <v/>
      </c>
      <c r="K39" s="70">
        <f>IF(INDEX('Final Calculation Sheet'!$J$4:$J$40,$DG39)="","",INDEX('Final Calculation Sheet'!$J$4:$J$40,$DG39))</f>
        <v/>
      </c>
      <c r="L39" s="70">
        <f>IF(INDEX('Final Calculation Sheet'!$K$4:$K$40,$DG39)="","",INDEX('Final Calculation Sheet'!$K$4:$K$40,$DG39))</f>
        <v/>
      </c>
      <c r="M39" s="70">
        <f>IF(INDEX('Final Calculation Sheet'!$L$4:$L$40,$DG39)="","",INDEX('Final Calculation Sheet'!$L$4:$L$40,$DG39))</f>
        <v/>
      </c>
      <c r="N39" s="70">
        <f>IF(INDEX('Final Calculation Sheet'!$M$4:$M$40,$DG39)="","",INDEX('Final Calculation Sheet'!$M$4:$M$40,$DG39))</f>
        <v/>
      </c>
      <c r="O39" s="71">
        <f>IF(INDEX('Final Calculation Sheet'!$N$4:$N$40,$DG39)="","",INDEX('Final Calculation Sheet'!$N$4:$N$40,$DG39))</f>
        <v/>
      </c>
      <c r="P39" s="70">
        <f>IF(INDEX('Final Calculation Sheet'!$O$4:$O$40,$DG39)="","",INDEX('Final Calculation Sheet'!$O$4:$O$40,$DG39))</f>
        <v/>
      </c>
      <c r="Q39" s="70">
        <f>IF(INDEX('Final Calculation Sheet'!$P$4:$P$40,$DG39)="","",INDEX('Final Calculation Sheet'!$P$4:$P$40,$DG39))</f>
        <v/>
      </c>
      <c r="R39" s="72">
        <f>IF(INDEX('Final Calculation Sheet'!$Q$4:$Q$40,$DG39)="","",INDEX('Final Calculation Sheet'!$Q$4:$Q$40,$DG39))</f>
        <v/>
      </c>
      <c r="S39" s="70">
        <f>IF(INDEX('Final Calculation Sheet'!$R$4:$R$40,$DG39)="","",INDEX('Final Calculation Sheet'!$R$4:$R$40,$DG39))</f>
        <v/>
      </c>
      <c r="T39" s="70">
        <f>IF(INDEX('Final Calculation Sheet'!$S$4:$S$40,$DG39)="","",INDEX('Final Calculation Sheet'!$S$4:$S$40,$DG39))</f>
        <v/>
      </c>
      <c r="U39" s="70">
        <f>IF(INDEX('Final Calculation Sheet'!$T$4:$T$40,$DG39)="","",INDEX('Final Calculation Sheet'!$T$4:$T$40,$DG39))</f>
        <v/>
      </c>
      <c r="V39" s="73">
        <f>IF(INDEX('Final Calculation Sheet'!$U$4:$U$40,$DG39)="","",INDEX('Final Calculation Sheet'!$U$4:$U$40,$DG39))</f>
        <v/>
      </c>
      <c r="W39" s="70">
        <f>IF(INDEX('Final Calculation Sheet'!$V$4:$V$40,$DG39)="","",INDEX('Final Calculation Sheet'!$V$4:$V$40,$DG39))</f>
        <v/>
      </c>
      <c r="X39" s="70">
        <f>IF(INDEX('Final Calculation Sheet'!$W$4:$W$40,$DG39)="","",INDEX('Final Calculation Sheet'!$W$4:$W$40,$DG39))</f>
        <v/>
      </c>
      <c r="Y39" s="70">
        <f>IF(INDEX('Final Calculation Sheet'!$X$4:$X$40,$DG39)="","",INDEX('Final Calculation Sheet'!$X$4:$X$40,$DG39))</f>
        <v/>
      </c>
      <c r="Z39" s="70">
        <f>IF(INDEX('Final Calculation Sheet'!$Y$4:$Y$40,$DG39)="","",INDEX('Final Calculation Sheet'!$Y$4:$Y$40,$DG39))</f>
        <v/>
      </c>
      <c r="AA39" s="70">
        <f>IF(INDEX('Final Calculation Sheet'!$Z$4:$Z$40,$DG39)="","",INDEX('Final Calculation Sheet'!$Z$4:$Z$40,$DG39))</f>
        <v/>
      </c>
      <c r="AB39" s="70">
        <f>IF(INDEX('Final Calculation Sheet'!$AA$4:$AA$40,$DG39)="","",INDEX('Final Calculation Sheet'!$AA$4:$AA$40,$DG39))</f>
        <v/>
      </c>
      <c r="AC39" s="70">
        <f>IF(INDEX('Final Calculation Sheet'!$AB$4:$AB$40,$DG39)="","",INDEX('Final Calculation Sheet'!$AB$4:$AB$40,$DG39))</f>
        <v/>
      </c>
      <c r="AD39" s="70">
        <f>IF(INDEX('Final Calculation Sheet'!$AC$4:$AC$40,$DG39)="","",INDEX('Final Calculation Sheet'!$AC$4:$AC$40,$DG39))</f>
        <v/>
      </c>
      <c r="AE39" s="70">
        <f>IF(INDEX('Final Calculation Sheet'!$AD$4:$AD$40,$DG39)="","",INDEX('Final Calculation Sheet'!$AD$4:$AD$40,$DG39))</f>
        <v/>
      </c>
      <c r="AF39" s="75">
        <f>IF(INDEX('Final Calculation Sheet'!$AD$4:$AD$40,$DG39)="","",IF(INDEX('Final Calculation Sheet'!$AD$4:$AD$40,$DG39)&lt;=5,"SETTLED","OUTSTANDING"))</f>
        <v/>
      </c>
      <c r="AG39" s="70">
        <f>IF(INDEX('Final Calculation Sheet'!$AF$4:$AF$40,$DG39)="","",INDEX('Final Calculation Sheet'!$AF$4:$AF$40,$DG39))</f>
        <v/>
      </c>
      <c r="AH39" s="74">
        <f>IF(INDEX('Final Calculation Sheet'!$AG$4:$AG$40,$DG39)="","",INDEX('Final Calculation Sheet'!$AG$4:$AG$40,$DG39))</f>
        <v/>
      </c>
      <c r="AI39" s="70">
        <f>IF(INDEX('Final Calculation Sheet'!$AH$4:$AH$40,$DG39)="","",INDEX('Final Calculation Sheet'!$AH$4:$AH$40,$DG39))</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IF(AJ39,DD39,"")</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c r="DC39">
        <f>IF(COUNTA($B$4:$AI$4)=0,28,IF(AJ33,DE39,$DE$54+25-DE39))</f>
      </c>
      <c r="DD39">
        <f>DD38+IF(AJ39,1,0)</f>
      </c>
      <c r="DE39">
        <f>DE37+IF(AJ33,1,0)</f>
      </c>
      <c r="DF39">
        <v>28</v>
      </c>
      <c r="DG39">
        <f>IF(COUNTA($B$4:$AI$4)=0,28,INDEX($DF$6:$DF$55,MATCH(25,$DC$6:$DC$55,0)))</f>
      </c>
    </row>
    <row r="40" ht="15" customHeight="1" s="137">
      <c r="A40" s="81" t="inlineStr">
        <is>
          <t>∑</t>
        </is>
      </c>
      <c r="B40" s="83" t="n"/>
      <c r="C40" s="83">
        <f>ROWS($C$39:$C$39)&amp;" lot(s)"</f>
        <v/>
      </c>
      <c r="D40" s="83">
        <f>IF(COUNTA($B$4:$AI$4)=0,"SUBTOTAL — SAHARA ENTERPRISES","SUBTOTAL — rows above")</f>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IF(AJ40,DD40,"")</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c r="DD40">
        <f>DD39+IF(AJ40,1,0)</f>
      </c>
    </row>
    <row r="41" outlineLevel="1" ht="15" customHeight="1" s="137">
      <c r="A41" s="67" t="n">
        <v>1</v>
      </c>
      <c r="B41" s="76">
        <f>IF(INDEX('Final Calculation Sheet'!$F$4:$F$40,$DG41)="","",INDEX('Final Calculation Sheet'!$F$4:$F$40,$DG41))</f>
        <v/>
      </c>
      <c r="C41" s="76">
        <f>IF(INDEX('Final Calculation Sheet'!$G$4:$G$40,$DG41)="","",INDEX('Final Calculation Sheet'!$G$4:$G$40,$DG41))</f>
        <v/>
      </c>
      <c r="D41" s="80">
        <f>IF(INDEX('Final Calculation Sheet'!$B$4:$B$40,$DG41)="","",INDEX('Final Calculation Sheet'!$B$4:$B$40,$DG41))</f>
        <v/>
      </c>
      <c r="E41" s="80">
        <f>IF(INDEX('Final Calculation Sheet'!$D$4:$D$40,$DG41)="","",INDEX('Final Calculation Sheet'!$D$4:$D$40,$DG41))</f>
        <v/>
      </c>
      <c r="F41" s="80">
        <f>IF(INDEX('Final Calculation Sheet'!$A$4:$A$40,$DG41)="","",INDEX('Final Calculation Sheet'!$A$4:$A$40,$DG41))</f>
        <v/>
      </c>
      <c r="G41" s="80">
        <f>IF(INDEX('Final Calculation Sheet'!$E$4:$E$40,$DG41)="","",INDEX('Final Calculation Sheet'!$E$4:$E$40,$DG41))</f>
        <v/>
      </c>
      <c r="H41" s="70">
        <f>IF(INDEX('Final Calculation Sheet'!$C$4:$C$40,$DG41)="","",INDEX('Final Calculation Sheet'!$C$4:$C$40,$DG41))</f>
        <v/>
      </c>
      <c r="I41" s="70">
        <f>IF(INDEX('Final Calculation Sheet'!$H$4:$H$40,$DG41)="","",INDEX('Final Calculation Sheet'!$H$4:$H$40,$DG41))</f>
        <v/>
      </c>
      <c r="J41" s="70">
        <f>IF(INDEX('Final Calculation Sheet'!$I$4:$I$40,$DG41)="","",INDEX('Final Calculation Sheet'!$I$4:$I$40,$DG41))</f>
        <v/>
      </c>
      <c r="K41" s="70">
        <f>IF(INDEX('Final Calculation Sheet'!$J$4:$J$40,$DG41)="","",INDEX('Final Calculation Sheet'!$J$4:$J$40,$DG41))</f>
        <v/>
      </c>
      <c r="L41" s="70">
        <f>IF(INDEX('Final Calculation Sheet'!$K$4:$K$40,$DG41)="","",INDEX('Final Calculation Sheet'!$K$4:$K$40,$DG41))</f>
        <v/>
      </c>
      <c r="M41" s="70">
        <f>IF(INDEX('Final Calculation Sheet'!$L$4:$L$40,$DG41)="","",INDEX('Final Calculation Sheet'!$L$4:$L$40,$DG41))</f>
        <v/>
      </c>
      <c r="N41" s="70">
        <f>IF(INDEX('Final Calculation Sheet'!$M$4:$M$40,$DG41)="","",INDEX('Final Calculation Sheet'!$M$4:$M$40,$DG41))</f>
        <v/>
      </c>
      <c r="O41" s="71">
        <f>IF(INDEX('Final Calculation Sheet'!$N$4:$N$40,$DG41)="","",INDEX('Final Calculation Sheet'!$N$4:$N$40,$DG41))</f>
        <v/>
      </c>
      <c r="P41" s="70">
        <f>IF(INDEX('Final Calculation Sheet'!$O$4:$O$40,$DG41)="","",INDEX('Final Calculation Sheet'!$O$4:$O$40,$DG41))</f>
        <v/>
      </c>
      <c r="Q41" s="70">
        <f>IF(INDEX('Final Calculation Sheet'!$P$4:$P$40,$DG41)="","",INDEX('Final Calculation Sheet'!$P$4:$P$40,$DG41))</f>
        <v/>
      </c>
      <c r="R41" s="72">
        <f>IF(INDEX('Final Calculation Sheet'!$Q$4:$Q$40,$DG41)="","",INDEX('Final Calculation Sheet'!$Q$4:$Q$40,$DG41))</f>
        <v/>
      </c>
      <c r="S41" s="70">
        <f>IF(INDEX('Final Calculation Sheet'!$R$4:$R$40,$DG41)="","",INDEX('Final Calculation Sheet'!$R$4:$R$40,$DG41))</f>
        <v/>
      </c>
      <c r="T41" s="70">
        <f>IF(INDEX('Final Calculation Sheet'!$S$4:$S$40,$DG41)="","",INDEX('Final Calculation Sheet'!$S$4:$S$40,$DG41))</f>
        <v/>
      </c>
      <c r="U41" s="70">
        <f>IF(INDEX('Final Calculation Sheet'!$T$4:$T$40,$DG41)="","",INDEX('Final Calculation Sheet'!$T$4:$T$40,$DG41))</f>
        <v/>
      </c>
      <c r="V41" s="73">
        <f>IF(INDEX('Final Calculation Sheet'!$U$4:$U$40,$DG41)="","",INDEX('Final Calculation Sheet'!$U$4:$U$40,$DG41))</f>
        <v/>
      </c>
      <c r="W41" s="70">
        <f>IF(INDEX('Final Calculation Sheet'!$V$4:$V$40,$DG41)="","",INDEX('Final Calculation Sheet'!$V$4:$V$40,$DG41))</f>
        <v/>
      </c>
      <c r="X41" s="70">
        <f>IF(INDEX('Final Calculation Sheet'!$W$4:$W$40,$DG41)="","",INDEX('Final Calculation Sheet'!$W$4:$W$40,$DG41))</f>
        <v/>
      </c>
      <c r="Y41" s="70">
        <f>IF(INDEX('Final Calculation Sheet'!$X$4:$X$40,$DG41)="","",INDEX('Final Calculation Sheet'!$X$4:$X$40,$DG41))</f>
        <v/>
      </c>
      <c r="Z41" s="70">
        <f>IF(INDEX('Final Calculation Sheet'!$Y$4:$Y$40,$DG41)="","",INDEX('Final Calculation Sheet'!$Y$4:$Y$40,$DG41))</f>
        <v/>
      </c>
      <c r="AA41" s="70">
        <f>IF(INDEX('Final Calculation Sheet'!$Z$4:$Z$40,$DG41)="","",INDEX('Final Calculation Sheet'!$Z$4:$Z$40,$DG41))</f>
        <v/>
      </c>
      <c r="AB41" s="70">
        <f>IF(INDEX('Final Calculation Sheet'!$AA$4:$AA$40,$DG41)="","",INDEX('Final Calculation Sheet'!$AA$4:$AA$40,$DG41))</f>
        <v/>
      </c>
      <c r="AC41" s="70">
        <f>IF(INDEX('Final Calculation Sheet'!$AB$4:$AB$40,$DG41)="","",INDEX('Final Calculation Sheet'!$AB$4:$AB$40,$DG41))</f>
        <v/>
      </c>
      <c r="AD41" s="70">
        <f>IF(INDEX('Final Calculation Sheet'!$AC$4:$AC$40,$DG41)="","",INDEX('Final Calculation Sheet'!$AC$4:$AC$40,$DG41))</f>
        <v/>
      </c>
      <c r="AE41" s="70">
        <f>IF(INDEX('Final Calculation Sheet'!$AD$4:$AD$40,$DG41)="","",INDEX('Final Calculation Sheet'!$AD$4:$AD$40,$DG41))</f>
        <v/>
      </c>
      <c r="AF41" s="75">
        <f>IF(INDEX('Final Calculation Sheet'!$AD$4:$AD$40,$DG41)="","",IF(INDEX('Final Calculation Sheet'!$AD$4:$AD$40,$DG41)&lt;=5,"SETTLED","OUTSTANDING"))</f>
        <v/>
      </c>
      <c r="AG41" s="70">
        <f>IF(INDEX('Final Calculation Sheet'!$AF$4:$AF$40,$DG41)="","",INDEX('Final Calculation Sheet'!$AF$4:$AF$40,$DG41))</f>
        <v/>
      </c>
      <c r="AH41" s="74">
        <f>IF(INDEX('Final Calculation Sheet'!$AG$4:$AG$40,$DG41)="","",INDEX('Final Calculation Sheet'!$AG$4:$AG$40,$DG41))</f>
        <v/>
      </c>
      <c r="AI41" s="70">
        <f>IF(INDEX('Final Calculation Sheet'!$AH$4:$AH$40,$DG41)="","",INDEX('Final Calculation Sheet'!$AH$4:$AH$40,$DG41))</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IF(AJ41,DD41,"")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c r="DC41">
        <f>IF(COUNTA($B$4:$AI$4)=0,6,IF(AJ11,DE41,$DE$54+26-DE41))</f>
      </c>
      <c r="DD41">
        <f>DD40+IF(AJ41,1,0)</f>
      </c>
      <c r="DE41">
        <f>DE39+IF(AJ11,1,0)</f>
      </c>
      <c r="DF41">
        <v>6</v>
      </c>
      <c r="DG41">
        <f>IF(COUNTA($B$4:$AI$4)=0,6,INDEX($DF$6:$DF$55,MATCH(26,$DC$6:$DC$55,0)))</f>
      </c>
    </row>
    <row r="42" outlineLevel="1" ht="15" customHeight="1" s="137">
      <c r="A42" s="90" t="n">
        <v>2</v>
      </c>
      <c r="B42" s="92">
        <f>IF(INDEX('Final Calculation Sheet'!$F$4:$F$40,$DG42)="","",INDEX('Final Calculation Sheet'!$F$4:$F$40,$DG42))</f>
        <v/>
      </c>
      <c r="C42" s="92">
        <f>IF(INDEX('Final Calculation Sheet'!$G$4:$G$40,$DG42)="","",INDEX('Final Calculation Sheet'!$G$4:$G$40,$DG42))</f>
        <v/>
      </c>
      <c r="D42" s="94">
        <f>IF(INDEX('Final Calculation Sheet'!$B$4:$B$40,$DG42)="","",INDEX('Final Calculation Sheet'!$B$4:$B$40,$DG42))</f>
        <v/>
      </c>
      <c r="E42" s="94">
        <f>IF(INDEX('Final Calculation Sheet'!$D$4:$D$40,$DG42)="","",INDEX('Final Calculation Sheet'!$D$4:$D$40,$DG42))</f>
        <v/>
      </c>
      <c r="F42" s="94">
        <f>IF(INDEX('Final Calculation Sheet'!$A$4:$A$40,$DG42)="","",INDEX('Final Calculation Sheet'!$A$4:$A$40,$DG42))</f>
        <v/>
      </c>
      <c r="G42" s="94">
        <f>IF(INDEX('Final Calculation Sheet'!$E$4:$E$40,$DG42)="","",INDEX('Final Calculation Sheet'!$E$4:$E$40,$DG42))</f>
        <v/>
      </c>
      <c r="H42" s="95">
        <f>IF(INDEX('Final Calculation Sheet'!$C$4:$C$40,$DG42)="","",INDEX('Final Calculation Sheet'!$C$4:$C$40,$DG42))</f>
        <v/>
      </c>
      <c r="I42" s="95">
        <f>IF(INDEX('Final Calculation Sheet'!$H$4:$H$40,$DG42)="","",INDEX('Final Calculation Sheet'!$H$4:$H$40,$DG42))</f>
        <v/>
      </c>
      <c r="J42" s="95">
        <f>IF(INDEX('Final Calculation Sheet'!$I$4:$I$40,$DG42)="","",INDEX('Final Calculation Sheet'!$I$4:$I$40,$DG42))</f>
        <v/>
      </c>
      <c r="K42" s="95">
        <f>IF(INDEX('Final Calculation Sheet'!$J$4:$J$40,$DG42)="","",INDEX('Final Calculation Sheet'!$J$4:$J$40,$DG42))</f>
        <v/>
      </c>
      <c r="L42" s="95">
        <f>IF(INDEX('Final Calculation Sheet'!$K$4:$K$40,$DG42)="","",INDEX('Final Calculation Sheet'!$K$4:$K$40,$DG42))</f>
        <v/>
      </c>
      <c r="M42" s="95">
        <f>IF(INDEX('Final Calculation Sheet'!$L$4:$L$40,$DG42)="","",INDEX('Final Calculation Sheet'!$L$4:$L$40,$DG42))</f>
        <v/>
      </c>
      <c r="N42" s="95">
        <f>IF(INDEX('Final Calculation Sheet'!$M$4:$M$40,$DG42)="","",INDEX('Final Calculation Sheet'!$M$4:$M$40,$DG42))</f>
        <v/>
      </c>
      <c r="O42" s="96">
        <f>IF(INDEX('Final Calculation Sheet'!$N$4:$N$40,$DG42)="","",INDEX('Final Calculation Sheet'!$N$4:$N$40,$DG42))</f>
        <v/>
      </c>
      <c r="P42" s="95">
        <f>IF(INDEX('Final Calculation Sheet'!$O$4:$O$40,$DG42)="","",INDEX('Final Calculation Sheet'!$O$4:$O$40,$DG42))</f>
        <v/>
      </c>
      <c r="Q42" s="95">
        <f>IF(INDEX('Final Calculation Sheet'!$P$4:$P$40,$DG42)="","",INDEX('Final Calculation Sheet'!$P$4:$P$40,$DG42))</f>
        <v/>
      </c>
      <c r="R42" s="97">
        <f>IF(INDEX('Final Calculation Sheet'!$Q$4:$Q$40,$DG42)="","",INDEX('Final Calculation Sheet'!$Q$4:$Q$40,$DG42))</f>
        <v/>
      </c>
      <c r="S42" s="95">
        <f>IF(INDEX('Final Calculation Sheet'!$R$4:$R$40,$DG42)="","",INDEX('Final Calculation Sheet'!$R$4:$R$40,$DG42))</f>
        <v/>
      </c>
      <c r="T42" s="95">
        <f>IF(INDEX('Final Calculation Sheet'!$S$4:$S$40,$DG42)="","",INDEX('Final Calculation Sheet'!$S$4:$S$40,$DG42))</f>
        <v/>
      </c>
      <c r="U42" s="95">
        <f>IF(INDEX('Final Calculation Sheet'!$T$4:$T$40,$DG42)="","",INDEX('Final Calculation Sheet'!$T$4:$T$40,$DG42))</f>
        <v/>
      </c>
      <c r="V42" s="98">
        <f>IF(INDEX('Final Calculation Sheet'!$U$4:$U$40,$DG42)="","",INDEX('Final Calculation Sheet'!$U$4:$U$40,$DG42))</f>
        <v/>
      </c>
      <c r="W42" s="95">
        <f>IF(INDEX('Final Calculation Sheet'!$V$4:$V$40,$DG42)="","",INDEX('Final Calculation Sheet'!$V$4:$V$40,$DG42))</f>
        <v/>
      </c>
      <c r="X42" s="95">
        <f>IF(INDEX('Final Calculation Sheet'!$W$4:$W$40,$DG42)="","",INDEX('Final Calculation Sheet'!$W$4:$W$40,$DG42))</f>
        <v/>
      </c>
      <c r="Y42" s="95">
        <f>IF(INDEX('Final Calculation Sheet'!$X$4:$X$40,$DG42)="","",INDEX('Final Calculation Sheet'!$X$4:$X$40,$DG42))</f>
        <v/>
      </c>
      <c r="Z42" s="95">
        <f>IF(INDEX('Final Calculation Sheet'!$Y$4:$Y$40,$DG42)="","",INDEX('Final Calculation Sheet'!$Y$4:$Y$40,$DG42))</f>
        <v/>
      </c>
      <c r="AA42" s="95">
        <f>IF(INDEX('Final Calculation Sheet'!$Z$4:$Z$40,$DG42)="","",INDEX('Final Calculation Sheet'!$Z$4:$Z$40,$DG42))</f>
        <v/>
      </c>
      <c r="AB42" s="95">
        <f>IF(INDEX('Final Calculation Sheet'!$AA$4:$AA$40,$DG42)="","",INDEX('Final Calculation Sheet'!$AA$4:$AA$40,$DG42))</f>
        <v/>
      </c>
      <c r="AC42" s="95">
        <f>IF(INDEX('Final Calculation Sheet'!$AB$4:$AB$40,$DG42)="","",INDEX('Final Calculation Sheet'!$AB$4:$AB$40,$DG42))</f>
        <v/>
      </c>
      <c r="AD42" s="95">
        <f>IF(INDEX('Final Calculation Sheet'!$AC$4:$AC$40,$DG42)="","",INDEX('Final Calculation Sheet'!$AC$4:$AC$40,$DG42))</f>
        <v/>
      </c>
      <c r="AE42" s="95">
        <f>IF(INDEX('Final Calculation Sheet'!$AD$4:$AD$40,$DG42)="","",INDEX('Final Calculation Sheet'!$AD$4:$AD$40,$DG42))</f>
        <v/>
      </c>
      <c r="AF42" s="100">
        <f>IF(INDEX('Final Calculation Sheet'!$AD$4:$AD$40,$DG42)="","",IF(INDEX('Final Calculation Sheet'!$AD$4:$AD$40,$DG42)&lt;=5,"SETTLED","OUTSTANDING"))</f>
        <v/>
      </c>
      <c r="AG42" s="95">
        <f>IF(INDEX('Final Calculation Sheet'!$AF$4:$AF$40,$DG42)="","",INDEX('Final Calculation Sheet'!$AF$4:$AF$40,$DG42))</f>
        <v/>
      </c>
      <c r="AH42" s="99">
        <f>IF(INDEX('Final Calculation Sheet'!$AG$4:$AG$40,$DG42)="","",INDEX('Final Calculation Sheet'!$AG$4:$AG$40,$DG42))</f>
        <v/>
      </c>
      <c r="AI42" s="95">
        <f>IF(INDEX('Final Calculation Sheet'!$AH$4:$AH$40,$DG42)="","",INDEX('Final Calculation Sheet'!$AH$4:$AH$40,$DG42))</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IF(AJ42,DD42,"")</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c r="DC42">
        <f>IF(COUNTA($B$4:$AI$4)=0,11,IF(AJ16,DE42,$DE$54+27-DE42))</f>
      </c>
      <c r="DD42">
        <f>DD41+IF(AJ42,1,0)</f>
      </c>
      <c r="DE42">
        <f>DE41+IF(AJ16,1,0)</f>
      </c>
      <c r="DF42">
        <v>11</v>
      </c>
      <c r="DG42">
        <f>IF(COUNTA($B$4:$AI$4)=0,11,INDEX($DF$6:$DF$55,MATCH(27,$DC$6:$DC$55,0)))</f>
      </c>
    </row>
    <row r="43" ht="15" customHeight="1" s="137">
      <c r="A43" s="81" t="inlineStr">
        <is>
          <t>∑</t>
        </is>
      </c>
      <c r="B43" s="83" t="n"/>
      <c r="C43" s="83">
        <f>ROWS($C$41:$C$42)&amp;" lot(s)"</f>
        <v/>
      </c>
      <c r="D43" s="83">
        <f>IF(COUNTA($B$4:$AI$4)=0,"SUBTOTAL — SHAR JAHAN TRADERS","SUBTOTAL — rows above")</f>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IF(INDEX('Final Calculation Sheet'!$F$4:$F$40,$DG44)="","",INDEX('Final Calculation Sheet'!$F$4:$F$40,$DG44))</f>
        <v/>
      </c>
      <c r="C44" s="76">
        <f>IF(INDEX('Final Calculation Sheet'!$G$4:$G$40,$DG44)="","",INDEX('Final Calculation Sheet'!$G$4:$G$40,$DG44))</f>
        <v/>
      </c>
      <c r="D44" s="80">
        <f>IF(INDEX('Final Calculation Sheet'!$B$4:$B$40,$DG44)="","",INDEX('Final Calculation Sheet'!$B$4:$B$40,$DG44))</f>
        <v/>
      </c>
      <c r="E44" s="80">
        <f>IF(INDEX('Final Calculation Sheet'!$D$4:$D$40,$DG44)="","",INDEX('Final Calculation Sheet'!$D$4:$D$40,$DG44))</f>
        <v/>
      </c>
      <c r="F44" s="80">
        <f>IF(INDEX('Final Calculation Sheet'!$A$4:$A$40,$DG44)="","",INDEX('Final Calculation Sheet'!$A$4:$A$40,$DG44))</f>
        <v/>
      </c>
      <c r="G44" s="80">
        <f>IF(INDEX('Final Calculation Sheet'!$E$4:$E$40,$DG44)="","",INDEX('Final Calculation Sheet'!$E$4:$E$40,$DG44))</f>
        <v/>
      </c>
      <c r="H44" s="70">
        <f>IF(INDEX('Final Calculation Sheet'!$C$4:$C$40,$DG44)="","",INDEX('Final Calculation Sheet'!$C$4:$C$40,$DG44))</f>
        <v/>
      </c>
      <c r="I44" s="70">
        <f>IF(INDEX('Final Calculation Sheet'!$H$4:$H$40,$DG44)="","",INDEX('Final Calculation Sheet'!$H$4:$H$40,$DG44))</f>
        <v/>
      </c>
      <c r="J44" s="70">
        <f>IF(INDEX('Final Calculation Sheet'!$I$4:$I$40,$DG44)="","",INDEX('Final Calculation Sheet'!$I$4:$I$40,$DG44))</f>
        <v/>
      </c>
      <c r="K44" s="70">
        <f>IF(INDEX('Final Calculation Sheet'!$J$4:$J$40,$DG44)="","",INDEX('Final Calculation Sheet'!$J$4:$J$40,$DG44))</f>
        <v/>
      </c>
      <c r="L44" s="70">
        <f>IF(INDEX('Final Calculation Sheet'!$K$4:$K$40,$DG44)="","",INDEX('Final Calculation Sheet'!$K$4:$K$40,$DG44))</f>
        <v/>
      </c>
      <c r="M44" s="70">
        <f>IF(INDEX('Final Calculation Sheet'!$L$4:$L$40,$DG44)="","",INDEX('Final Calculation Sheet'!$L$4:$L$40,$DG44))</f>
        <v/>
      </c>
      <c r="N44" s="70">
        <f>IF(INDEX('Final Calculation Sheet'!$M$4:$M$40,$DG44)="","",INDEX('Final Calculation Sheet'!$M$4:$M$40,$DG44))</f>
        <v/>
      </c>
      <c r="O44" s="71">
        <f>IF(INDEX('Final Calculation Sheet'!$N$4:$N$40,$DG44)="","",INDEX('Final Calculation Sheet'!$N$4:$N$40,$DG44))</f>
        <v/>
      </c>
      <c r="P44" s="70">
        <f>IF(INDEX('Final Calculation Sheet'!$O$4:$O$40,$DG44)="","",INDEX('Final Calculation Sheet'!$O$4:$O$40,$DG44))</f>
        <v/>
      </c>
      <c r="Q44" s="70">
        <f>IF(INDEX('Final Calculation Sheet'!$P$4:$P$40,$DG44)="","",INDEX('Final Calculation Sheet'!$P$4:$P$40,$DG44))</f>
        <v/>
      </c>
      <c r="R44" s="72">
        <f>IF(INDEX('Final Calculation Sheet'!$Q$4:$Q$40,$DG44)="","",INDEX('Final Calculation Sheet'!$Q$4:$Q$40,$DG44))</f>
        <v/>
      </c>
      <c r="S44" s="70">
        <f>IF(INDEX('Final Calculation Sheet'!$R$4:$R$40,$DG44)="","",INDEX('Final Calculation Sheet'!$R$4:$R$40,$DG44))</f>
        <v/>
      </c>
      <c r="T44" s="70">
        <f>IF(INDEX('Final Calculation Sheet'!$S$4:$S$40,$DG44)="","",INDEX('Final Calculation Sheet'!$S$4:$S$40,$DG44))</f>
        <v/>
      </c>
      <c r="U44" s="70">
        <f>IF(INDEX('Final Calculation Sheet'!$T$4:$T$40,$DG44)="","",INDEX('Final Calculation Sheet'!$T$4:$T$40,$DG44))</f>
        <v/>
      </c>
      <c r="V44" s="73">
        <f>IF(INDEX('Final Calculation Sheet'!$U$4:$U$40,$DG44)="","",INDEX('Final Calculation Sheet'!$U$4:$U$40,$DG44))</f>
        <v/>
      </c>
      <c r="W44" s="70">
        <f>IF(INDEX('Final Calculation Sheet'!$V$4:$V$40,$DG44)="","",INDEX('Final Calculation Sheet'!$V$4:$V$40,$DG44))</f>
        <v/>
      </c>
      <c r="X44" s="70">
        <f>IF(INDEX('Final Calculation Sheet'!$W$4:$W$40,$DG44)="","",INDEX('Final Calculation Sheet'!$W$4:$W$40,$DG44))</f>
        <v/>
      </c>
      <c r="Y44" s="70">
        <f>IF(INDEX('Final Calculation Sheet'!$X$4:$X$40,$DG44)="","",INDEX('Final Calculation Sheet'!$X$4:$X$40,$DG44))</f>
        <v/>
      </c>
      <c r="Z44" s="70">
        <f>IF(INDEX('Final Calculation Sheet'!$Y$4:$Y$40,$DG44)="","",INDEX('Final Calculation Sheet'!$Y$4:$Y$40,$DG44))</f>
        <v/>
      </c>
      <c r="AA44" s="70">
        <f>IF(INDEX('Final Calculation Sheet'!$Z$4:$Z$40,$DG44)="","",INDEX('Final Calculation Sheet'!$Z$4:$Z$40,$DG44))</f>
        <v/>
      </c>
      <c r="AB44" s="70">
        <f>IF(INDEX('Final Calculation Sheet'!$AA$4:$AA$40,$DG44)="","",INDEX('Final Calculation Sheet'!$AA$4:$AA$40,$DG44))</f>
        <v/>
      </c>
      <c r="AC44" s="70">
        <f>IF(INDEX('Final Calculation Sheet'!$AB$4:$AB$40,$DG44)="","",INDEX('Final Calculation Sheet'!$AB$4:$AB$40,$DG44))</f>
        <v/>
      </c>
      <c r="AD44" s="70">
        <f>IF(INDEX('Final Calculation Sheet'!$AC$4:$AC$40,$DG44)="","",INDEX('Final Calculation Sheet'!$AC$4:$AC$40,$DG44))</f>
        <v/>
      </c>
      <c r="AE44" s="70">
        <f>IF(INDEX('Final Calculation Sheet'!$AD$4:$AD$40,$DG44)="","",INDEX('Final Calculation Sheet'!$AD$4:$AD$40,$DG44))</f>
        <v/>
      </c>
      <c r="AF44" s="75">
        <f>IF(INDEX('Final Calculation Sheet'!$AD$4:$AD$40,$DG44)="","",IF(INDEX('Final Calculation Sheet'!$AD$4:$AD$40,$DG44)&lt;=5,"SETTLED","OUTSTANDING"))</f>
        <v/>
      </c>
      <c r="AG44" s="70">
        <f>IF(INDEX('Final Calculation Sheet'!$AF$4:$AF$40,$DG44)="","",INDEX('Final Calculation Sheet'!$AF$4:$AF$40,$DG44))</f>
        <v/>
      </c>
      <c r="AH44" s="74">
        <f>IF(INDEX('Final Calculation Sheet'!$AG$4:$AG$40,$DG44)="","",INDEX('Final Calculation Sheet'!$AG$4:$AG$40,$DG44))</f>
        <v/>
      </c>
      <c r="AI44" s="70">
        <f>IF(INDEX('Final Calculation Sheet'!$AH$4:$AH$40,$DG44)="","",INDEX('Final Calculation Sheet'!$AH$4:$AH$40,$DG44))</f>
        <v/>
      </c>
      <c r="DC44">
        <f>IF(COUNTA($B$4:$AI$4)=0,10,IF(AJ15,DE44,$DE$54+28-DE44))</f>
      </c>
      <c r="DE44">
        <f>DE42+IF(AJ15,1,0)</f>
      </c>
      <c r="DF44">
        <v>10</v>
      </c>
      <c r="DG44">
        <f>IF(COUNTA($B$4:$AI$4)=0,10,INDEX($DF$6:$DF$55,MATCH(28,$DC$6:$DC$55,0)))</f>
      </c>
    </row>
    <row r="45" outlineLevel="1" ht="15" customHeight="1" s="137">
      <c r="A45" s="90" t="n">
        <v>2</v>
      </c>
      <c r="B45" s="92">
        <f>IF(INDEX('Final Calculation Sheet'!$F$4:$F$40,$DG45)="","",INDEX('Final Calculation Sheet'!$F$4:$F$40,$DG45))</f>
        <v/>
      </c>
      <c r="C45" s="92">
        <f>IF(INDEX('Final Calculation Sheet'!$G$4:$G$40,$DG45)="","",INDEX('Final Calculation Sheet'!$G$4:$G$40,$DG45))</f>
        <v/>
      </c>
      <c r="D45" s="94">
        <f>IF(INDEX('Final Calculation Sheet'!$B$4:$B$40,$DG45)="","",INDEX('Final Calculation Sheet'!$B$4:$B$40,$DG45))</f>
        <v/>
      </c>
      <c r="E45" s="94">
        <f>IF(INDEX('Final Calculation Sheet'!$D$4:$D$40,$DG45)="","",INDEX('Final Calculation Sheet'!$D$4:$D$40,$DG45))</f>
        <v/>
      </c>
      <c r="F45" s="94">
        <f>IF(INDEX('Final Calculation Sheet'!$A$4:$A$40,$DG45)="","",INDEX('Final Calculation Sheet'!$A$4:$A$40,$DG45))</f>
        <v/>
      </c>
      <c r="G45" s="94">
        <f>IF(INDEX('Final Calculation Sheet'!$E$4:$E$40,$DG45)="","",INDEX('Final Calculation Sheet'!$E$4:$E$40,$DG45))</f>
        <v/>
      </c>
      <c r="H45" s="95">
        <f>IF(INDEX('Final Calculation Sheet'!$C$4:$C$40,$DG45)="","",INDEX('Final Calculation Sheet'!$C$4:$C$40,$DG45))</f>
        <v/>
      </c>
      <c r="I45" s="95">
        <f>IF(INDEX('Final Calculation Sheet'!$H$4:$H$40,$DG45)="","",INDEX('Final Calculation Sheet'!$H$4:$H$40,$DG45))</f>
        <v/>
      </c>
      <c r="J45" s="95">
        <f>IF(INDEX('Final Calculation Sheet'!$I$4:$I$40,$DG45)="","",INDEX('Final Calculation Sheet'!$I$4:$I$40,$DG45))</f>
        <v/>
      </c>
      <c r="K45" s="95">
        <f>IF(INDEX('Final Calculation Sheet'!$J$4:$J$40,$DG45)="","",INDEX('Final Calculation Sheet'!$J$4:$J$40,$DG45))</f>
        <v/>
      </c>
      <c r="L45" s="95">
        <f>IF(INDEX('Final Calculation Sheet'!$K$4:$K$40,$DG45)="","",INDEX('Final Calculation Sheet'!$K$4:$K$40,$DG45))</f>
        <v/>
      </c>
      <c r="M45" s="95">
        <f>IF(INDEX('Final Calculation Sheet'!$L$4:$L$40,$DG45)="","",INDEX('Final Calculation Sheet'!$L$4:$L$40,$DG45))</f>
        <v/>
      </c>
      <c r="N45" s="95">
        <f>IF(INDEX('Final Calculation Sheet'!$M$4:$M$40,$DG45)="","",INDEX('Final Calculation Sheet'!$M$4:$M$40,$DG45))</f>
        <v/>
      </c>
      <c r="O45" s="96">
        <f>IF(INDEX('Final Calculation Sheet'!$N$4:$N$40,$DG45)="","",INDEX('Final Calculation Sheet'!$N$4:$N$40,$DG45))</f>
        <v/>
      </c>
      <c r="P45" s="95">
        <f>IF(INDEX('Final Calculation Sheet'!$O$4:$O$40,$DG45)="","",INDEX('Final Calculation Sheet'!$O$4:$O$40,$DG45))</f>
        <v/>
      </c>
      <c r="Q45" s="95">
        <f>IF(INDEX('Final Calculation Sheet'!$P$4:$P$40,$DG45)="","",INDEX('Final Calculation Sheet'!$P$4:$P$40,$DG45))</f>
        <v/>
      </c>
      <c r="R45" s="97">
        <f>IF(INDEX('Final Calculation Sheet'!$Q$4:$Q$40,$DG45)="","",INDEX('Final Calculation Sheet'!$Q$4:$Q$40,$DG45))</f>
        <v/>
      </c>
      <c r="S45" s="95">
        <f>IF(INDEX('Final Calculation Sheet'!$R$4:$R$40,$DG45)="","",INDEX('Final Calculation Sheet'!$R$4:$R$40,$DG45))</f>
        <v/>
      </c>
      <c r="T45" s="95">
        <f>IF(INDEX('Final Calculation Sheet'!$S$4:$S$40,$DG45)="","",INDEX('Final Calculation Sheet'!$S$4:$S$40,$DG45))</f>
        <v/>
      </c>
      <c r="U45" s="95">
        <f>IF(INDEX('Final Calculation Sheet'!$T$4:$T$40,$DG45)="","",INDEX('Final Calculation Sheet'!$T$4:$T$40,$DG45))</f>
        <v/>
      </c>
      <c r="V45" s="98">
        <f>IF(INDEX('Final Calculation Sheet'!$U$4:$U$40,$DG45)="","",INDEX('Final Calculation Sheet'!$U$4:$U$40,$DG45))</f>
        <v/>
      </c>
      <c r="W45" s="95">
        <f>IF(INDEX('Final Calculation Sheet'!$V$4:$V$40,$DG45)="","",INDEX('Final Calculation Sheet'!$V$4:$V$40,$DG45))</f>
        <v/>
      </c>
      <c r="X45" s="95">
        <f>IF(INDEX('Final Calculation Sheet'!$W$4:$W$40,$DG45)="","",INDEX('Final Calculation Sheet'!$W$4:$W$40,$DG45))</f>
        <v/>
      </c>
      <c r="Y45" s="95">
        <f>IF(INDEX('Final Calculation Sheet'!$X$4:$X$40,$DG45)="","",INDEX('Final Calculation Sheet'!$X$4:$X$40,$DG45))</f>
        <v/>
      </c>
      <c r="Z45" s="95">
        <f>IF(INDEX('Final Calculation Sheet'!$Y$4:$Y$40,$DG45)="","",INDEX('Final Calculation Sheet'!$Y$4:$Y$40,$DG45))</f>
        <v/>
      </c>
      <c r="AA45" s="95">
        <f>IF(INDEX('Final Calculation Sheet'!$Z$4:$Z$40,$DG45)="","",INDEX('Final Calculation Sheet'!$Z$4:$Z$40,$DG45))</f>
        <v/>
      </c>
      <c r="AB45" s="95">
        <f>IF(INDEX('Final Calculation Sheet'!$AA$4:$AA$40,$DG45)="","",INDEX('Final Calculation Sheet'!$AA$4:$AA$40,$DG45))</f>
        <v/>
      </c>
      <c r="AC45" s="95">
        <f>IF(INDEX('Final Calculation Sheet'!$AB$4:$AB$40,$DG45)="","",INDEX('Final Calculation Sheet'!$AB$4:$AB$40,$DG45))</f>
        <v/>
      </c>
      <c r="AD45" s="95">
        <f>IF(INDEX('Final Calculation Sheet'!$AC$4:$AC$40,$DG45)="","",INDEX('Final Calculation Sheet'!$AC$4:$AC$40,$DG45))</f>
        <v/>
      </c>
      <c r="AE45" s="95">
        <f>IF(INDEX('Final Calculation Sheet'!$AD$4:$AD$40,$DG45)="","",INDEX('Final Calculation Sheet'!$AD$4:$AD$40,$DG45))</f>
        <v/>
      </c>
      <c r="AF45" s="100">
        <f>IF(INDEX('Final Calculation Sheet'!$AD$4:$AD$40,$DG45)="","",IF(INDEX('Final Calculation Sheet'!$AD$4:$AD$40,$DG45)&lt;=5,"SETTLED","OUTSTANDING"))</f>
        <v/>
      </c>
      <c r="AG45" s="95">
        <f>IF(INDEX('Final Calculation Sheet'!$AF$4:$AF$40,$DG45)="","",INDEX('Final Calculation Sheet'!$AF$4:$AF$40,$DG45))</f>
        <v/>
      </c>
      <c r="AH45" s="99">
        <f>IF(INDEX('Final Calculation Sheet'!$AG$4:$AG$40,$DG45)="","",INDEX('Final Calculation Sheet'!$AG$4:$AG$40,$DG45))</f>
        <v/>
      </c>
      <c r="AI45" s="95">
        <f>IF(INDEX('Final Calculation Sheet'!$AH$4:$AH$40,$DG45)="","",INDEX('Final Calculation Sheet'!$AH$4:$AH$40,$DG45))</f>
        <v/>
      </c>
      <c r="DC45">
        <f>IF(COUNTA($B$4:$AI$4)=0,13,IF(AJ18,DE45,$DE$54+29-DE45))</f>
      </c>
      <c r="DE45">
        <f>DE44+IF(AJ18,1,0)</f>
      </c>
      <c r="DF45">
        <v>13</v>
      </c>
      <c r="DG45">
        <f>IF(COUNTA($B$4:$AI$4)=0,13,INDEX($DF$6:$DF$55,MATCH(29,$DC$6:$DC$55,0)))</f>
      </c>
    </row>
    <row r="46" outlineLevel="1" ht="15" customHeight="1" s="137">
      <c r="A46" s="67" t="n">
        <v>3</v>
      </c>
      <c r="B46" s="76">
        <f>IF(INDEX('Final Calculation Sheet'!$F$4:$F$40,$DG46)="","",INDEX('Final Calculation Sheet'!$F$4:$F$40,$DG46))</f>
        <v/>
      </c>
      <c r="C46" s="76">
        <f>IF(INDEX('Final Calculation Sheet'!$G$4:$G$40,$DG46)="","",INDEX('Final Calculation Sheet'!$G$4:$G$40,$DG46))</f>
        <v/>
      </c>
      <c r="D46" s="80">
        <f>IF(INDEX('Final Calculation Sheet'!$B$4:$B$40,$DG46)="","",INDEX('Final Calculation Sheet'!$B$4:$B$40,$DG46))</f>
        <v/>
      </c>
      <c r="E46" s="80">
        <f>IF(INDEX('Final Calculation Sheet'!$D$4:$D$40,$DG46)="","",INDEX('Final Calculation Sheet'!$D$4:$D$40,$DG46))</f>
        <v/>
      </c>
      <c r="F46" s="80">
        <f>IF(INDEX('Final Calculation Sheet'!$A$4:$A$40,$DG46)="","",INDEX('Final Calculation Sheet'!$A$4:$A$40,$DG46))</f>
        <v/>
      </c>
      <c r="G46" s="80">
        <f>IF(INDEX('Final Calculation Sheet'!$E$4:$E$40,$DG46)="","",INDEX('Final Calculation Sheet'!$E$4:$E$40,$DG46))</f>
        <v/>
      </c>
      <c r="H46" s="70">
        <f>IF(INDEX('Final Calculation Sheet'!$C$4:$C$40,$DG46)="","",INDEX('Final Calculation Sheet'!$C$4:$C$40,$DG46))</f>
        <v/>
      </c>
      <c r="I46" s="70">
        <f>IF(INDEX('Final Calculation Sheet'!$H$4:$H$40,$DG46)="","",INDEX('Final Calculation Sheet'!$H$4:$H$40,$DG46))</f>
        <v/>
      </c>
      <c r="J46" s="70">
        <f>IF(INDEX('Final Calculation Sheet'!$I$4:$I$40,$DG46)="","",INDEX('Final Calculation Sheet'!$I$4:$I$40,$DG46))</f>
        <v/>
      </c>
      <c r="K46" s="70">
        <f>IF(INDEX('Final Calculation Sheet'!$J$4:$J$40,$DG46)="","",INDEX('Final Calculation Sheet'!$J$4:$J$40,$DG46))</f>
        <v/>
      </c>
      <c r="L46" s="70">
        <f>IF(INDEX('Final Calculation Sheet'!$K$4:$K$40,$DG46)="","",INDEX('Final Calculation Sheet'!$K$4:$K$40,$DG46))</f>
        <v/>
      </c>
      <c r="M46" s="70">
        <f>IF(INDEX('Final Calculation Sheet'!$L$4:$L$40,$DG46)="","",INDEX('Final Calculation Sheet'!$L$4:$L$40,$DG46))</f>
        <v/>
      </c>
      <c r="N46" s="70">
        <f>IF(INDEX('Final Calculation Sheet'!$M$4:$M$40,$DG46)="","",INDEX('Final Calculation Sheet'!$M$4:$M$40,$DG46))</f>
        <v/>
      </c>
      <c r="O46" s="71">
        <f>IF(INDEX('Final Calculation Sheet'!$N$4:$N$40,$DG46)="","",INDEX('Final Calculation Sheet'!$N$4:$N$40,$DG46))</f>
        <v/>
      </c>
      <c r="P46" s="70">
        <f>IF(INDEX('Final Calculation Sheet'!$O$4:$O$40,$DG46)="","",INDEX('Final Calculation Sheet'!$O$4:$O$40,$DG46))</f>
        <v/>
      </c>
      <c r="Q46" s="70">
        <f>IF(INDEX('Final Calculation Sheet'!$P$4:$P$40,$DG46)="","",INDEX('Final Calculation Sheet'!$P$4:$P$40,$DG46))</f>
        <v/>
      </c>
      <c r="R46" s="72">
        <f>IF(INDEX('Final Calculation Sheet'!$Q$4:$Q$40,$DG46)="","",INDEX('Final Calculation Sheet'!$Q$4:$Q$40,$DG46))</f>
        <v/>
      </c>
      <c r="S46" s="70">
        <f>IF(INDEX('Final Calculation Sheet'!$R$4:$R$40,$DG46)="","",INDEX('Final Calculation Sheet'!$R$4:$R$40,$DG46))</f>
        <v/>
      </c>
      <c r="T46" s="70">
        <f>IF(INDEX('Final Calculation Sheet'!$S$4:$S$40,$DG46)="","",INDEX('Final Calculation Sheet'!$S$4:$S$40,$DG46))</f>
        <v/>
      </c>
      <c r="U46" s="70">
        <f>IF(INDEX('Final Calculation Sheet'!$T$4:$T$40,$DG46)="","",INDEX('Final Calculation Sheet'!$T$4:$T$40,$DG46))</f>
        <v/>
      </c>
      <c r="V46" s="73">
        <f>IF(INDEX('Final Calculation Sheet'!$U$4:$U$40,$DG46)="","",INDEX('Final Calculation Sheet'!$U$4:$U$40,$DG46))</f>
        <v/>
      </c>
      <c r="W46" s="70">
        <f>IF(INDEX('Final Calculation Sheet'!$V$4:$V$40,$DG46)="","",INDEX('Final Calculation Sheet'!$V$4:$V$40,$DG46))</f>
        <v/>
      </c>
      <c r="X46" s="70">
        <f>IF(INDEX('Final Calculation Sheet'!$W$4:$W$40,$DG46)="","",INDEX('Final Calculation Sheet'!$W$4:$W$40,$DG46))</f>
        <v/>
      </c>
      <c r="Y46" s="70">
        <f>IF(INDEX('Final Calculation Sheet'!$X$4:$X$40,$DG46)="","",INDEX('Final Calculation Sheet'!$X$4:$X$40,$DG46))</f>
        <v/>
      </c>
      <c r="Z46" s="70">
        <f>IF(INDEX('Final Calculation Sheet'!$Y$4:$Y$40,$DG46)="","",INDEX('Final Calculation Sheet'!$Y$4:$Y$40,$DG46))</f>
        <v/>
      </c>
      <c r="AA46" s="70">
        <f>IF(INDEX('Final Calculation Sheet'!$Z$4:$Z$40,$DG46)="","",INDEX('Final Calculation Sheet'!$Z$4:$Z$40,$DG46))</f>
        <v/>
      </c>
      <c r="AB46" s="70">
        <f>IF(INDEX('Final Calculation Sheet'!$AA$4:$AA$40,$DG46)="","",INDEX('Final Calculation Sheet'!$AA$4:$AA$40,$DG46))</f>
        <v/>
      </c>
      <c r="AC46" s="70">
        <f>IF(INDEX('Final Calculation Sheet'!$AB$4:$AB$40,$DG46)="","",INDEX('Final Calculation Sheet'!$AB$4:$AB$40,$DG46))</f>
        <v/>
      </c>
      <c r="AD46" s="70">
        <f>IF(INDEX('Final Calculation Sheet'!$AC$4:$AC$40,$DG46)="","",INDEX('Final Calculation Sheet'!$AC$4:$AC$40,$DG46))</f>
        <v/>
      </c>
      <c r="AE46" s="70">
        <f>IF(INDEX('Final Calculation Sheet'!$AD$4:$AD$40,$DG46)="","",INDEX('Final Calculation Sheet'!$AD$4:$AD$40,$DG46))</f>
        <v/>
      </c>
      <c r="AF46" s="75">
        <f>IF(INDEX('Final Calculation Sheet'!$AD$4:$AD$40,$DG46)="","",IF(INDEX('Final Calculation Sheet'!$AD$4:$AD$40,$DG46)&lt;=5,"SETTLED","OUTSTANDING"))</f>
        <v/>
      </c>
      <c r="AG46" s="70">
        <f>IF(INDEX('Final Calculation Sheet'!$AF$4:$AF$40,$DG46)="","",INDEX('Final Calculation Sheet'!$AF$4:$AF$40,$DG46))</f>
        <v/>
      </c>
      <c r="AH46" s="74">
        <f>IF(INDEX('Final Calculation Sheet'!$AG$4:$AG$40,$DG46)="","",INDEX('Final Calculation Sheet'!$AG$4:$AG$40,$DG46))</f>
        <v/>
      </c>
      <c r="AI46" s="70">
        <f>IF(INDEX('Final Calculation Sheet'!$AH$4:$AH$40,$DG46)="","",INDEX('Final Calculation Sheet'!$AH$4:$AH$40,$DG46))</f>
        <v/>
      </c>
      <c r="DC46">
        <f>IF(COUNTA($B$4:$AI$4)=0,14,IF(AJ19,DE46,$DE$54+30-DE46))</f>
      </c>
      <c r="DE46">
        <f>DE45+IF(AJ19,1,0)</f>
      </c>
      <c r="DF46">
        <v>14</v>
      </c>
      <c r="DG46">
        <f>IF(COUNTA($B$4:$AI$4)=0,14,INDEX($DF$6:$DF$55,MATCH(30,$DC$6:$DC$55,0)))</f>
      </c>
    </row>
    <row r="47" outlineLevel="1" ht="15" customHeight="1" s="137">
      <c r="A47" s="90" t="n">
        <v>4</v>
      </c>
      <c r="B47" s="92">
        <f>IF(INDEX('Final Calculation Sheet'!$F$4:$F$40,$DG47)="","",INDEX('Final Calculation Sheet'!$F$4:$F$40,$DG47))</f>
        <v/>
      </c>
      <c r="C47" s="92">
        <f>IF(INDEX('Final Calculation Sheet'!$G$4:$G$40,$DG47)="","",INDEX('Final Calculation Sheet'!$G$4:$G$40,$DG47))</f>
        <v/>
      </c>
      <c r="D47" s="94">
        <f>IF(INDEX('Final Calculation Sheet'!$B$4:$B$40,$DG47)="","",INDEX('Final Calculation Sheet'!$B$4:$B$40,$DG47))</f>
        <v/>
      </c>
      <c r="E47" s="94">
        <f>IF(INDEX('Final Calculation Sheet'!$D$4:$D$40,$DG47)="","",INDEX('Final Calculation Sheet'!$D$4:$D$40,$DG47))</f>
        <v/>
      </c>
      <c r="F47" s="94">
        <f>IF(INDEX('Final Calculation Sheet'!$A$4:$A$40,$DG47)="","",INDEX('Final Calculation Sheet'!$A$4:$A$40,$DG47))</f>
        <v/>
      </c>
      <c r="G47" s="94">
        <f>IF(INDEX('Final Calculation Sheet'!$E$4:$E$40,$DG47)="","",INDEX('Final Calculation Sheet'!$E$4:$E$40,$DG47))</f>
        <v/>
      </c>
      <c r="H47" s="95">
        <f>IF(INDEX('Final Calculation Sheet'!$C$4:$C$40,$DG47)="","",INDEX('Final Calculation Sheet'!$C$4:$C$40,$DG47))</f>
        <v/>
      </c>
      <c r="I47" s="95">
        <f>IF(INDEX('Final Calculation Sheet'!$H$4:$H$40,$DG47)="","",INDEX('Final Calculation Sheet'!$H$4:$H$40,$DG47))</f>
        <v/>
      </c>
      <c r="J47" s="95">
        <f>IF(INDEX('Final Calculation Sheet'!$I$4:$I$40,$DG47)="","",INDEX('Final Calculation Sheet'!$I$4:$I$40,$DG47))</f>
        <v/>
      </c>
      <c r="K47" s="95">
        <f>IF(INDEX('Final Calculation Sheet'!$J$4:$J$40,$DG47)="","",INDEX('Final Calculation Sheet'!$J$4:$J$40,$DG47))</f>
        <v/>
      </c>
      <c r="L47" s="95">
        <f>IF(INDEX('Final Calculation Sheet'!$K$4:$K$40,$DG47)="","",INDEX('Final Calculation Sheet'!$K$4:$K$40,$DG47))</f>
        <v/>
      </c>
      <c r="M47" s="95">
        <f>IF(INDEX('Final Calculation Sheet'!$L$4:$L$40,$DG47)="","",INDEX('Final Calculation Sheet'!$L$4:$L$40,$DG47))</f>
        <v/>
      </c>
      <c r="N47" s="95">
        <f>IF(INDEX('Final Calculation Sheet'!$M$4:$M$40,$DG47)="","",INDEX('Final Calculation Sheet'!$M$4:$M$40,$DG47))</f>
        <v/>
      </c>
      <c r="O47" s="96">
        <f>IF(INDEX('Final Calculation Sheet'!$N$4:$N$40,$DG47)="","",INDEX('Final Calculation Sheet'!$N$4:$N$40,$DG47))</f>
        <v/>
      </c>
      <c r="P47" s="95">
        <f>IF(INDEX('Final Calculation Sheet'!$O$4:$O$40,$DG47)="","",INDEX('Final Calculation Sheet'!$O$4:$O$40,$DG47))</f>
        <v/>
      </c>
      <c r="Q47" s="95">
        <f>IF(INDEX('Final Calculation Sheet'!$P$4:$P$40,$DG47)="","",INDEX('Final Calculation Sheet'!$P$4:$P$40,$DG47))</f>
        <v/>
      </c>
      <c r="R47" s="97">
        <f>IF(INDEX('Final Calculation Sheet'!$Q$4:$Q$40,$DG47)="","",INDEX('Final Calculation Sheet'!$Q$4:$Q$40,$DG47))</f>
        <v/>
      </c>
      <c r="S47" s="95">
        <f>IF(INDEX('Final Calculation Sheet'!$R$4:$R$40,$DG47)="","",INDEX('Final Calculation Sheet'!$R$4:$R$40,$DG47))</f>
        <v/>
      </c>
      <c r="T47" s="95">
        <f>IF(INDEX('Final Calculation Sheet'!$S$4:$S$40,$DG47)="","",INDEX('Final Calculation Sheet'!$S$4:$S$40,$DG47))</f>
        <v/>
      </c>
      <c r="U47" s="95">
        <f>IF(INDEX('Final Calculation Sheet'!$T$4:$T$40,$DG47)="","",INDEX('Final Calculation Sheet'!$T$4:$T$40,$DG47))</f>
        <v/>
      </c>
      <c r="V47" s="98">
        <f>IF(INDEX('Final Calculation Sheet'!$U$4:$U$40,$DG47)="","",INDEX('Final Calculation Sheet'!$U$4:$U$40,$DG47))</f>
        <v/>
      </c>
      <c r="W47" s="95">
        <f>IF(INDEX('Final Calculation Sheet'!$V$4:$V$40,$DG47)="","",INDEX('Final Calculation Sheet'!$V$4:$V$40,$DG47))</f>
        <v/>
      </c>
      <c r="X47" s="95">
        <f>IF(INDEX('Final Calculation Sheet'!$W$4:$W$40,$DG47)="","",INDEX('Final Calculation Sheet'!$W$4:$W$40,$DG47))</f>
        <v/>
      </c>
      <c r="Y47" s="95">
        <f>IF(INDEX('Final Calculation Sheet'!$X$4:$X$40,$DG47)="","",INDEX('Final Calculation Sheet'!$X$4:$X$40,$DG47))</f>
        <v/>
      </c>
      <c r="Z47" s="95">
        <f>IF(INDEX('Final Calculation Sheet'!$Y$4:$Y$40,$DG47)="","",INDEX('Final Calculation Sheet'!$Y$4:$Y$40,$DG47))</f>
        <v/>
      </c>
      <c r="AA47" s="95">
        <f>IF(INDEX('Final Calculation Sheet'!$Z$4:$Z$40,$DG47)="","",INDEX('Final Calculation Sheet'!$Z$4:$Z$40,$DG47))</f>
        <v/>
      </c>
      <c r="AB47" s="95">
        <f>IF(INDEX('Final Calculation Sheet'!$AA$4:$AA$40,$DG47)="","",INDEX('Final Calculation Sheet'!$AA$4:$AA$40,$DG47))</f>
        <v/>
      </c>
      <c r="AC47" s="95">
        <f>IF(INDEX('Final Calculation Sheet'!$AB$4:$AB$40,$DG47)="","",INDEX('Final Calculation Sheet'!$AB$4:$AB$40,$DG47))</f>
        <v/>
      </c>
      <c r="AD47" s="95">
        <f>IF(INDEX('Final Calculation Sheet'!$AC$4:$AC$40,$DG47)="","",INDEX('Final Calculation Sheet'!$AC$4:$AC$40,$DG47))</f>
        <v/>
      </c>
      <c r="AE47" s="95">
        <f>IF(INDEX('Final Calculation Sheet'!$AD$4:$AD$40,$DG47)="","",INDEX('Final Calculation Sheet'!$AD$4:$AD$40,$DG47))</f>
        <v/>
      </c>
      <c r="AF47" s="100">
        <f>IF(INDEX('Final Calculation Sheet'!$AD$4:$AD$40,$DG47)="","",IF(INDEX('Final Calculation Sheet'!$AD$4:$AD$40,$DG47)&lt;=5,"SETTLED","OUTSTANDING"))</f>
        <v/>
      </c>
      <c r="AG47" s="95">
        <f>IF(INDEX('Final Calculation Sheet'!$AF$4:$AF$40,$DG47)="","",INDEX('Final Calculation Sheet'!$AF$4:$AF$40,$DG47))</f>
        <v/>
      </c>
      <c r="AH47" s="99">
        <f>IF(INDEX('Final Calculation Sheet'!$AG$4:$AG$40,$DG47)="","",INDEX('Final Calculation Sheet'!$AG$4:$AG$40,$DG47))</f>
        <v/>
      </c>
      <c r="AI47" s="95">
        <f>IF(INDEX('Final Calculation Sheet'!$AH$4:$AH$40,$DG47)="","",INDEX('Final Calculation Sheet'!$AH$4:$AH$40,$DG47))</f>
        <v/>
      </c>
      <c r="DC47">
        <f>IF(COUNTA($B$4:$AI$4)=0,20,IF(AJ25,DE47,$DE$54+31-DE47))</f>
      </c>
      <c r="DE47">
        <f>DE46+IF(AJ25,1,0)</f>
      </c>
      <c r="DF47">
        <v>20</v>
      </c>
      <c r="DG47">
        <f>IF(COUNTA($B$4:$AI$4)=0,20,INDEX($DF$6:$DF$55,MATCH(31,$DC$6:$DC$55,0)))</f>
      </c>
    </row>
    <row r="48" outlineLevel="1" ht="15" customHeight="1" s="137">
      <c r="A48" s="67" t="n">
        <v>5</v>
      </c>
      <c r="B48" s="76">
        <f>IF(INDEX('Final Calculation Sheet'!$F$4:$F$40,$DG48)="","",INDEX('Final Calculation Sheet'!$F$4:$F$40,$DG48))</f>
        <v/>
      </c>
      <c r="C48" s="76">
        <f>IF(INDEX('Final Calculation Sheet'!$G$4:$G$40,$DG48)="","",INDEX('Final Calculation Sheet'!$G$4:$G$40,$DG48))</f>
        <v/>
      </c>
      <c r="D48" s="80">
        <f>IF(INDEX('Final Calculation Sheet'!$B$4:$B$40,$DG48)="","",INDEX('Final Calculation Sheet'!$B$4:$B$40,$DG48))</f>
        <v/>
      </c>
      <c r="E48" s="80">
        <f>IF(INDEX('Final Calculation Sheet'!$D$4:$D$40,$DG48)="","",INDEX('Final Calculation Sheet'!$D$4:$D$40,$DG48))</f>
        <v/>
      </c>
      <c r="F48" s="80">
        <f>IF(INDEX('Final Calculation Sheet'!$A$4:$A$40,$DG48)="","",INDEX('Final Calculation Sheet'!$A$4:$A$40,$DG48))</f>
        <v/>
      </c>
      <c r="G48" s="80">
        <f>IF(INDEX('Final Calculation Sheet'!$E$4:$E$40,$DG48)="","",INDEX('Final Calculation Sheet'!$E$4:$E$40,$DG48))</f>
        <v/>
      </c>
      <c r="H48" s="70">
        <f>IF(INDEX('Final Calculation Sheet'!$C$4:$C$40,$DG48)="","",INDEX('Final Calculation Sheet'!$C$4:$C$40,$DG48))</f>
        <v/>
      </c>
      <c r="I48" s="70">
        <f>IF(INDEX('Final Calculation Sheet'!$H$4:$H$40,$DG48)="","",INDEX('Final Calculation Sheet'!$H$4:$H$40,$DG48))</f>
        <v/>
      </c>
      <c r="J48" s="70">
        <f>IF(INDEX('Final Calculation Sheet'!$I$4:$I$40,$DG48)="","",INDEX('Final Calculation Sheet'!$I$4:$I$40,$DG48))</f>
        <v/>
      </c>
      <c r="K48" s="70">
        <f>IF(INDEX('Final Calculation Sheet'!$J$4:$J$40,$DG48)="","",INDEX('Final Calculation Sheet'!$J$4:$J$40,$DG48))</f>
        <v/>
      </c>
      <c r="L48" s="70">
        <f>IF(INDEX('Final Calculation Sheet'!$K$4:$K$40,$DG48)="","",INDEX('Final Calculation Sheet'!$K$4:$K$40,$DG48))</f>
        <v/>
      </c>
      <c r="M48" s="70">
        <f>IF(INDEX('Final Calculation Sheet'!$L$4:$L$40,$DG48)="","",INDEX('Final Calculation Sheet'!$L$4:$L$40,$DG48))</f>
        <v/>
      </c>
      <c r="N48" s="70">
        <f>IF(INDEX('Final Calculation Sheet'!$M$4:$M$40,$DG48)="","",INDEX('Final Calculation Sheet'!$M$4:$M$40,$DG48))</f>
        <v/>
      </c>
      <c r="O48" s="71">
        <f>IF(INDEX('Final Calculation Sheet'!$N$4:$N$40,$DG48)="","",INDEX('Final Calculation Sheet'!$N$4:$N$40,$DG48))</f>
        <v/>
      </c>
      <c r="P48" s="70">
        <f>IF(INDEX('Final Calculation Sheet'!$O$4:$O$40,$DG48)="","",INDEX('Final Calculation Sheet'!$O$4:$O$40,$DG48))</f>
        <v/>
      </c>
      <c r="Q48" s="70">
        <f>IF(INDEX('Final Calculation Sheet'!$P$4:$P$40,$DG48)="","",INDEX('Final Calculation Sheet'!$P$4:$P$40,$DG48))</f>
        <v/>
      </c>
      <c r="R48" s="72">
        <f>IF(INDEX('Final Calculation Sheet'!$Q$4:$Q$40,$DG48)="","",INDEX('Final Calculation Sheet'!$Q$4:$Q$40,$DG48))</f>
        <v/>
      </c>
      <c r="S48" s="70">
        <f>IF(INDEX('Final Calculation Sheet'!$R$4:$R$40,$DG48)="","",INDEX('Final Calculation Sheet'!$R$4:$R$40,$DG48))</f>
        <v/>
      </c>
      <c r="T48" s="70">
        <f>IF(INDEX('Final Calculation Sheet'!$S$4:$S$40,$DG48)="","",INDEX('Final Calculation Sheet'!$S$4:$S$40,$DG48))</f>
        <v/>
      </c>
      <c r="U48" s="70">
        <f>IF(INDEX('Final Calculation Sheet'!$T$4:$T$40,$DG48)="","",INDEX('Final Calculation Sheet'!$T$4:$T$40,$DG48))</f>
        <v/>
      </c>
      <c r="V48" s="73">
        <f>IF(INDEX('Final Calculation Sheet'!$U$4:$U$40,$DG48)="","",INDEX('Final Calculation Sheet'!$U$4:$U$40,$DG48))</f>
        <v/>
      </c>
      <c r="W48" s="70">
        <f>IF(INDEX('Final Calculation Sheet'!$V$4:$V$40,$DG48)="","",INDEX('Final Calculation Sheet'!$V$4:$V$40,$DG48))</f>
        <v/>
      </c>
      <c r="X48" s="70">
        <f>IF(INDEX('Final Calculation Sheet'!$W$4:$W$40,$DG48)="","",INDEX('Final Calculation Sheet'!$W$4:$W$40,$DG48))</f>
        <v/>
      </c>
      <c r="Y48" s="70">
        <f>IF(INDEX('Final Calculation Sheet'!$X$4:$X$40,$DG48)="","",INDEX('Final Calculation Sheet'!$X$4:$X$40,$DG48))</f>
        <v/>
      </c>
      <c r="Z48" s="70">
        <f>IF(INDEX('Final Calculation Sheet'!$Y$4:$Y$40,$DG48)="","",INDEX('Final Calculation Sheet'!$Y$4:$Y$40,$DG48))</f>
        <v/>
      </c>
      <c r="AA48" s="70">
        <f>IF(INDEX('Final Calculation Sheet'!$Z$4:$Z$40,$DG48)="","",INDEX('Final Calculation Sheet'!$Z$4:$Z$40,$DG48))</f>
        <v/>
      </c>
      <c r="AB48" s="70">
        <f>IF(INDEX('Final Calculation Sheet'!$AA$4:$AA$40,$DG48)="","",INDEX('Final Calculation Sheet'!$AA$4:$AA$40,$DG48))</f>
        <v/>
      </c>
      <c r="AC48" s="70">
        <f>IF(INDEX('Final Calculation Sheet'!$AB$4:$AB$40,$DG48)="","",INDEX('Final Calculation Sheet'!$AB$4:$AB$40,$DG48))</f>
        <v/>
      </c>
      <c r="AD48" s="70">
        <f>IF(INDEX('Final Calculation Sheet'!$AC$4:$AC$40,$DG48)="","",INDEX('Final Calculation Sheet'!$AC$4:$AC$40,$DG48))</f>
        <v/>
      </c>
      <c r="AE48" s="70">
        <f>IF(INDEX('Final Calculation Sheet'!$AD$4:$AD$40,$DG48)="","",INDEX('Final Calculation Sheet'!$AD$4:$AD$40,$DG48))</f>
        <v/>
      </c>
      <c r="AF48" s="75">
        <f>IF(INDEX('Final Calculation Sheet'!$AD$4:$AD$40,$DG48)="","",IF(INDEX('Final Calculation Sheet'!$AD$4:$AD$40,$DG48)&lt;=5,"SETTLED","OUTSTANDING"))</f>
        <v/>
      </c>
      <c r="AG48" s="70">
        <f>IF(INDEX('Final Calculation Sheet'!$AF$4:$AF$40,$DG48)="","",INDEX('Final Calculation Sheet'!$AF$4:$AF$40,$DG48))</f>
        <v/>
      </c>
      <c r="AH48" s="74">
        <f>IF(INDEX('Final Calculation Sheet'!$AG$4:$AG$40,$DG48)="","",INDEX('Final Calculation Sheet'!$AG$4:$AG$40,$DG48))</f>
        <v/>
      </c>
      <c r="AI48" s="70">
        <f>IF(INDEX('Final Calculation Sheet'!$AH$4:$AH$40,$DG48)="","",INDEX('Final Calculation Sheet'!$AH$4:$AH$40,$DG48))</f>
        <v/>
      </c>
      <c r="DC48">
        <f>IF(COUNTA($B$4:$AI$4)=0,26,IF(AJ31,DE48,$DE$54+32-DE48))</f>
      </c>
      <c r="DE48">
        <f>DE47+IF(AJ31,1,0)</f>
      </c>
      <c r="DF48">
        <v>26</v>
      </c>
      <c r="DG48">
        <f>IF(COUNTA($B$4:$AI$4)=0,26,INDEX($DF$6:$DF$55,MATCH(32,$DC$6:$DC$55,0)))</f>
      </c>
    </row>
    <row r="49" outlineLevel="1" ht="15" customHeight="1" s="137">
      <c r="A49" s="90" t="n">
        <v>6</v>
      </c>
      <c r="B49" s="92">
        <f>IF(INDEX('Final Calculation Sheet'!$F$4:$F$40,$DG49)="","",INDEX('Final Calculation Sheet'!$F$4:$F$40,$DG49))</f>
        <v/>
      </c>
      <c r="C49" s="92">
        <f>IF(INDEX('Final Calculation Sheet'!$G$4:$G$40,$DG49)="","",INDEX('Final Calculation Sheet'!$G$4:$G$40,$DG49))</f>
        <v/>
      </c>
      <c r="D49" s="94">
        <f>IF(INDEX('Final Calculation Sheet'!$B$4:$B$40,$DG49)="","",INDEX('Final Calculation Sheet'!$B$4:$B$40,$DG49))</f>
        <v/>
      </c>
      <c r="E49" s="94">
        <f>IF(INDEX('Final Calculation Sheet'!$D$4:$D$40,$DG49)="","",INDEX('Final Calculation Sheet'!$D$4:$D$40,$DG49))</f>
        <v/>
      </c>
      <c r="F49" s="94">
        <f>IF(INDEX('Final Calculation Sheet'!$A$4:$A$40,$DG49)="","",INDEX('Final Calculation Sheet'!$A$4:$A$40,$DG49))</f>
        <v/>
      </c>
      <c r="G49" s="94">
        <f>IF(INDEX('Final Calculation Sheet'!$E$4:$E$40,$DG49)="","",INDEX('Final Calculation Sheet'!$E$4:$E$40,$DG49))</f>
        <v/>
      </c>
      <c r="H49" s="95">
        <f>IF(INDEX('Final Calculation Sheet'!$C$4:$C$40,$DG49)="","",INDEX('Final Calculation Sheet'!$C$4:$C$40,$DG49))</f>
        <v/>
      </c>
      <c r="I49" s="95">
        <f>IF(INDEX('Final Calculation Sheet'!$H$4:$H$40,$DG49)="","",INDEX('Final Calculation Sheet'!$H$4:$H$40,$DG49))</f>
        <v/>
      </c>
      <c r="J49" s="95">
        <f>IF(INDEX('Final Calculation Sheet'!$I$4:$I$40,$DG49)="","",INDEX('Final Calculation Sheet'!$I$4:$I$40,$DG49))</f>
        <v/>
      </c>
      <c r="K49" s="95">
        <f>IF(INDEX('Final Calculation Sheet'!$J$4:$J$40,$DG49)="","",INDEX('Final Calculation Sheet'!$J$4:$J$40,$DG49))</f>
        <v/>
      </c>
      <c r="L49" s="95">
        <f>IF(INDEX('Final Calculation Sheet'!$K$4:$K$40,$DG49)="","",INDEX('Final Calculation Sheet'!$K$4:$K$40,$DG49))</f>
        <v/>
      </c>
      <c r="M49" s="95">
        <f>IF(INDEX('Final Calculation Sheet'!$L$4:$L$40,$DG49)="","",INDEX('Final Calculation Sheet'!$L$4:$L$40,$DG49))</f>
        <v/>
      </c>
      <c r="N49" s="95">
        <f>IF(INDEX('Final Calculation Sheet'!$M$4:$M$40,$DG49)="","",INDEX('Final Calculation Sheet'!$M$4:$M$40,$DG49))</f>
        <v/>
      </c>
      <c r="O49" s="96">
        <f>IF(INDEX('Final Calculation Sheet'!$N$4:$N$40,$DG49)="","",INDEX('Final Calculation Sheet'!$N$4:$N$40,$DG49))</f>
        <v/>
      </c>
      <c r="P49" s="95">
        <f>IF(INDEX('Final Calculation Sheet'!$O$4:$O$40,$DG49)="","",INDEX('Final Calculation Sheet'!$O$4:$O$40,$DG49))</f>
        <v/>
      </c>
      <c r="Q49" s="95">
        <f>IF(INDEX('Final Calculation Sheet'!$P$4:$P$40,$DG49)="","",INDEX('Final Calculation Sheet'!$P$4:$P$40,$DG49))</f>
        <v/>
      </c>
      <c r="R49" s="97">
        <f>IF(INDEX('Final Calculation Sheet'!$Q$4:$Q$40,$DG49)="","",INDEX('Final Calculation Sheet'!$Q$4:$Q$40,$DG49))</f>
        <v/>
      </c>
      <c r="S49" s="95">
        <f>IF(INDEX('Final Calculation Sheet'!$R$4:$R$40,$DG49)="","",INDEX('Final Calculation Sheet'!$R$4:$R$40,$DG49))</f>
        <v/>
      </c>
      <c r="T49" s="95">
        <f>IF(INDEX('Final Calculation Sheet'!$S$4:$S$40,$DG49)="","",INDEX('Final Calculation Sheet'!$S$4:$S$40,$DG49))</f>
        <v/>
      </c>
      <c r="U49" s="95">
        <f>IF(INDEX('Final Calculation Sheet'!$T$4:$T$40,$DG49)="","",INDEX('Final Calculation Sheet'!$T$4:$T$40,$DG49))</f>
        <v/>
      </c>
      <c r="V49" s="98">
        <f>IF(INDEX('Final Calculation Sheet'!$U$4:$U$40,$DG49)="","",INDEX('Final Calculation Sheet'!$U$4:$U$40,$DG49))</f>
        <v/>
      </c>
      <c r="W49" s="95">
        <f>IF(INDEX('Final Calculation Sheet'!$V$4:$V$40,$DG49)="","",INDEX('Final Calculation Sheet'!$V$4:$V$40,$DG49))</f>
        <v/>
      </c>
      <c r="X49" s="95">
        <f>IF(INDEX('Final Calculation Sheet'!$W$4:$W$40,$DG49)="","",INDEX('Final Calculation Sheet'!$W$4:$W$40,$DG49))</f>
        <v/>
      </c>
      <c r="Y49" s="95">
        <f>IF(INDEX('Final Calculation Sheet'!$X$4:$X$40,$DG49)="","",INDEX('Final Calculation Sheet'!$X$4:$X$40,$DG49))</f>
        <v/>
      </c>
      <c r="Z49" s="95">
        <f>IF(INDEX('Final Calculation Sheet'!$Y$4:$Y$40,$DG49)="","",INDEX('Final Calculation Sheet'!$Y$4:$Y$40,$DG49))</f>
        <v/>
      </c>
      <c r="AA49" s="95">
        <f>IF(INDEX('Final Calculation Sheet'!$Z$4:$Z$40,$DG49)="","",INDEX('Final Calculation Sheet'!$Z$4:$Z$40,$DG49))</f>
        <v/>
      </c>
      <c r="AB49" s="95">
        <f>IF(INDEX('Final Calculation Sheet'!$AA$4:$AA$40,$DG49)="","",INDEX('Final Calculation Sheet'!$AA$4:$AA$40,$DG49))</f>
        <v/>
      </c>
      <c r="AC49" s="95">
        <f>IF(INDEX('Final Calculation Sheet'!$AB$4:$AB$40,$DG49)="","",INDEX('Final Calculation Sheet'!$AB$4:$AB$40,$DG49))</f>
        <v/>
      </c>
      <c r="AD49" s="95">
        <f>IF(INDEX('Final Calculation Sheet'!$AC$4:$AC$40,$DG49)="","",INDEX('Final Calculation Sheet'!$AC$4:$AC$40,$DG49))</f>
        <v/>
      </c>
      <c r="AE49" s="95">
        <f>IF(INDEX('Final Calculation Sheet'!$AD$4:$AD$40,$DG49)="","",INDEX('Final Calculation Sheet'!$AD$4:$AD$40,$DG49))</f>
        <v/>
      </c>
      <c r="AF49" s="100">
        <f>IF(INDEX('Final Calculation Sheet'!$AD$4:$AD$40,$DG49)="","",IF(INDEX('Final Calculation Sheet'!$AD$4:$AD$40,$DG49)&lt;=5,"SETTLED","OUTSTANDING"))</f>
        <v/>
      </c>
      <c r="AG49" s="95">
        <f>IF(INDEX('Final Calculation Sheet'!$AF$4:$AF$40,$DG49)="","",INDEX('Final Calculation Sheet'!$AF$4:$AF$40,$DG49))</f>
        <v/>
      </c>
      <c r="AH49" s="99">
        <f>IF(INDEX('Final Calculation Sheet'!$AG$4:$AG$40,$DG49)="","",INDEX('Final Calculation Sheet'!$AG$4:$AG$40,$DG49))</f>
        <v/>
      </c>
      <c r="AI49" s="95">
        <f>IF(INDEX('Final Calculation Sheet'!$AH$4:$AH$40,$DG49)="","",INDEX('Final Calculation Sheet'!$AH$4:$AH$40,$DG49))</f>
        <v/>
      </c>
      <c r="DC49">
        <f>IF(COUNTA($B$4:$AI$4)=0,31,IF(AJ36,DE49,$DE$54+33-DE49))</f>
      </c>
      <c r="DE49">
        <f>DE48+IF(AJ36,1,0)</f>
      </c>
      <c r="DF49">
        <v>31</v>
      </c>
      <c r="DG49">
        <f>IF(COUNTA($B$4:$AI$4)=0,31,INDEX($DF$6:$DF$55,MATCH(33,$DC$6:$DC$55,0)))</f>
      </c>
    </row>
    <row r="50" outlineLevel="1" ht="15" customHeight="1" s="137">
      <c r="A50" s="67" t="n">
        <v>7</v>
      </c>
      <c r="B50" s="76">
        <f>IF(INDEX('Final Calculation Sheet'!$F$4:$F$40,$DG50)="","",INDEX('Final Calculation Sheet'!$F$4:$F$40,$DG50))</f>
        <v/>
      </c>
      <c r="C50" s="76">
        <f>IF(INDEX('Final Calculation Sheet'!$G$4:$G$40,$DG50)="","",INDEX('Final Calculation Sheet'!$G$4:$G$40,$DG50))</f>
        <v/>
      </c>
      <c r="D50" s="80">
        <f>IF(INDEX('Final Calculation Sheet'!$B$4:$B$40,$DG50)="","",INDEX('Final Calculation Sheet'!$B$4:$B$40,$DG50))</f>
        <v/>
      </c>
      <c r="E50" s="80">
        <f>IF(INDEX('Final Calculation Sheet'!$D$4:$D$40,$DG50)="","",INDEX('Final Calculation Sheet'!$D$4:$D$40,$DG50))</f>
        <v/>
      </c>
      <c r="F50" s="80">
        <f>IF(INDEX('Final Calculation Sheet'!$A$4:$A$40,$DG50)="","",INDEX('Final Calculation Sheet'!$A$4:$A$40,$DG50))</f>
        <v/>
      </c>
      <c r="G50" s="80">
        <f>IF(INDEX('Final Calculation Sheet'!$E$4:$E$40,$DG50)="","",INDEX('Final Calculation Sheet'!$E$4:$E$40,$DG50))</f>
        <v/>
      </c>
      <c r="H50" s="70">
        <f>IF(INDEX('Final Calculation Sheet'!$C$4:$C$40,$DG50)="","",INDEX('Final Calculation Sheet'!$C$4:$C$40,$DG50))</f>
        <v/>
      </c>
      <c r="I50" s="70">
        <f>IF(INDEX('Final Calculation Sheet'!$H$4:$H$40,$DG50)="","",INDEX('Final Calculation Sheet'!$H$4:$H$40,$DG50))</f>
        <v/>
      </c>
      <c r="J50" s="70">
        <f>IF(INDEX('Final Calculation Sheet'!$I$4:$I$40,$DG50)="","",INDEX('Final Calculation Sheet'!$I$4:$I$40,$DG50))</f>
        <v/>
      </c>
      <c r="K50" s="70">
        <f>IF(INDEX('Final Calculation Sheet'!$J$4:$J$40,$DG50)="","",INDEX('Final Calculation Sheet'!$J$4:$J$40,$DG50))</f>
        <v/>
      </c>
      <c r="L50" s="70">
        <f>IF(INDEX('Final Calculation Sheet'!$K$4:$K$40,$DG50)="","",INDEX('Final Calculation Sheet'!$K$4:$K$40,$DG50))</f>
        <v/>
      </c>
      <c r="M50" s="70">
        <f>IF(INDEX('Final Calculation Sheet'!$L$4:$L$40,$DG50)="","",INDEX('Final Calculation Sheet'!$L$4:$L$40,$DG50))</f>
        <v/>
      </c>
      <c r="N50" s="70">
        <f>IF(INDEX('Final Calculation Sheet'!$M$4:$M$40,$DG50)="","",INDEX('Final Calculation Sheet'!$M$4:$M$40,$DG50))</f>
        <v/>
      </c>
      <c r="O50" s="71">
        <f>IF(INDEX('Final Calculation Sheet'!$N$4:$N$40,$DG50)="","",INDEX('Final Calculation Sheet'!$N$4:$N$40,$DG50))</f>
        <v/>
      </c>
      <c r="P50" s="70">
        <f>IF(INDEX('Final Calculation Sheet'!$O$4:$O$40,$DG50)="","",INDEX('Final Calculation Sheet'!$O$4:$O$40,$DG50))</f>
        <v/>
      </c>
      <c r="Q50" s="70">
        <f>IF(INDEX('Final Calculation Sheet'!$P$4:$P$40,$DG50)="","",INDEX('Final Calculation Sheet'!$P$4:$P$40,$DG50))</f>
        <v/>
      </c>
      <c r="R50" s="72">
        <f>IF(INDEX('Final Calculation Sheet'!$Q$4:$Q$40,$DG50)="","",INDEX('Final Calculation Sheet'!$Q$4:$Q$40,$DG50))</f>
        <v/>
      </c>
      <c r="S50" s="70">
        <f>IF(INDEX('Final Calculation Sheet'!$R$4:$R$40,$DG50)="","",INDEX('Final Calculation Sheet'!$R$4:$R$40,$DG50))</f>
        <v/>
      </c>
      <c r="T50" s="70">
        <f>IF(INDEX('Final Calculation Sheet'!$S$4:$S$40,$DG50)="","",INDEX('Final Calculation Sheet'!$S$4:$S$40,$DG50))</f>
        <v/>
      </c>
      <c r="U50" s="70">
        <f>IF(INDEX('Final Calculation Sheet'!$T$4:$T$40,$DG50)="","",INDEX('Final Calculation Sheet'!$T$4:$T$40,$DG50))</f>
        <v/>
      </c>
      <c r="V50" s="73">
        <f>IF(INDEX('Final Calculation Sheet'!$U$4:$U$40,$DG50)="","",INDEX('Final Calculation Sheet'!$U$4:$U$40,$DG50))</f>
        <v/>
      </c>
      <c r="W50" s="70">
        <f>IF(INDEX('Final Calculation Sheet'!$V$4:$V$40,$DG50)="","",INDEX('Final Calculation Sheet'!$V$4:$V$40,$DG50))</f>
        <v/>
      </c>
      <c r="X50" s="70">
        <f>IF(INDEX('Final Calculation Sheet'!$W$4:$W$40,$DG50)="","",INDEX('Final Calculation Sheet'!$W$4:$W$40,$DG50))</f>
        <v/>
      </c>
      <c r="Y50" s="70">
        <f>IF(INDEX('Final Calculation Sheet'!$X$4:$X$40,$DG50)="","",INDEX('Final Calculation Sheet'!$X$4:$X$40,$DG50))</f>
        <v/>
      </c>
      <c r="Z50" s="70">
        <f>IF(INDEX('Final Calculation Sheet'!$Y$4:$Y$40,$DG50)="","",INDEX('Final Calculation Sheet'!$Y$4:$Y$40,$DG50))</f>
        <v/>
      </c>
      <c r="AA50" s="70">
        <f>IF(INDEX('Final Calculation Sheet'!$Z$4:$Z$40,$DG50)="","",INDEX('Final Calculation Sheet'!$Z$4:$Z$40,$DG50))</f>
        <v/>
      </c>
      <c r="AB50" s="70">
        <f>IF(INDEX('Final Calculation Sheet'!$AA$4:$AA$40,$DG50)="","",INDEX('Final Calculation Sheet'!$AA$4:$AA$40,$DG50))</f>
        <v/>
      </c>
      <c r="AC50" s="70">
        <f>IF(INDEX('Final Calculation Sheet'!$AB$4:$AB$40,$DG50)="","",INDEX('Final Calculation Sheet'!$AB$4:$AB$40,$DG50))</f>
        <v/>
      </c>
      <c r="AD50" s="70">
        <f>IF(INDEX('Final Calculation Sheet'!$AC$4:$AC$40,$DG50)="","",INDEX('Final Calculation Sheet'!$AC$4:$AC$40,$DG50))</f>
        <v/>
      </c>
      <c r="AE50" s="70">
        <f>IF(INDEX('Final Calculation Sheet'!$AD$4:$AD$40,$DG50)="","",INDEX('Final Calculation Sheet'!$AD$4:$AD$40,$DG50))</f>
        <v/>
      </c>
      <c r="AF50" s="75">
        <f>IF(INDEX('Final Calculation Sheet'!$AD$4:$AD$40,$DG50)="","",IF(INDEX('Final Calculation Sheet'!$AD$4:$AD$40,$DG50)&lt;=5,"SETTLED","OUTSTANDING"))</f>
        <v/>
      </c>
      <c r="AG50" s="70">
        <f>IF(INDEX('Final Calculation Sheet'!$AF$4:$AF$40,$DG50)="","",INDEX('Final Calculation Sheet'!$AF$4:$AF$40,$DG50))</f>
        <v/>
      </c>
      <c r="AH50" s="74">
        <f>IF(INDEX('Final Calculation Sheet'!$AG$4:$AG$40,$DG50)="","",INDEX('Final Calculation Sheet'!$AG$4:$AG$40,$DG50))</f>
        <v/>
      </c>
      <c r="AI50" s="70">
        <f>IF(INDEX('Final Calculation Sheet'!$AH$4:$AH$40,$DG50)="","",INDEX('Final Calculation Sheet'!$AH$4:$AH$40,$DG50))</f>
        <v/>
      </c>
      <c r="DC50">
        <f>IF(COUNTA($B$4:$AI$4)=0,33,IF(AJ38,DE50,$DE$54+34-DE50))</f>
      </c>
      <c r="DE50">
        <f>DE49+IF(AJ38,1,0)</f>
      </c>
      <c r="DF50">
        <v>33</v>
      </c>
      <c r="DG50">
        <f>IF(COUNTA($B$4:$AI$4)=0,33,INDEX($DF$6:$DF$55,MATCH(34,$DC$6:$DC$55,0)))</f>
      </c>
    </row>
    <row r="51" ht="15" customHeight="1" s="137">
      <c r="A51" s="81" t="inlineStr">
        <is>
          <t>∑</t>
        </is>
      </c>
      <c r="B51" s="83" t="n"/>
      <c r="C51" s="83">
        <f>ROWS($C$44:$C$50)&amp;" lot(s)"</f>
        <v/>
      </c>
      <c r="D51" s="83">
        <f>IF(COUNTA($B$4:$AI$4)=0,"SUBTOTAL — STERLING ENTERPRISES","SUBTOTAL — rows above")</f>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IF(INDEX('Final Calculation Sheet'!$F$4:$F$40,$DG52)="","",INDEX('Final Calculation Sheet'!$F$4:$F$40,$DG52))</f>
        <v/>
      </c>
      <c r="C52" s="76">
        <f>IF(INDEX('Final Calculation Sheet'!$G$4:$G$40,$DG52)="","",INDEX('Final Calculation Sheet'!$G$4:$G$40,$DG52))</f>
        <v/>
      </c>
      <c r="D52" s="80">
        <f>IF(INDEX('Final Calculation Sheet'!$B$4:$B$40,$DG52)="","",INDEX('Final Calculation Sheet'!$B$4:$B$40,$DG52))</f>
        <v/>
      </c>
      <c r="E52" s="80">
        <f>IF(INDEX('Final Calculation Sheet'!$D$4:$D$40,$DG52)="","",INDEX('Final Calculation Sheet'!$D$4:$D$40,$DG52))</f>
        <v/>
      </c>
      <c r="F52" s="80">
        <f>IF(INDEX('Final Calculation Sheet'!$A$4:$A$40,$DG52)="","",INDEX('Final Calculation Sheet'!$A$4:$A$40,$DG52))</f>
        <v/>
      </c>
      <c r="G52" s="80">
        <f>IF(INDEX('Final Calculation Sheet'!$E$4:$E$40,$DG52)="","",INDEX('Final Calculation Sheet'!$E$4:$E$40,$DG52))</f>
        <v/>
      </c>
      <c r="H52" s="70">
        <f>IF(INDEX('Final Calculation Sheet'!$C$4:$C$40,$DG52)="","",INDEX('Final Calculation Sheet'!$C$4:$C$40,$DG52))</f>
        <v/>
      </c>
      <c r="I52" s="70">
        <f>IF(INDEX('Final Calculation Sheet'!$H$4:$H$40,$DG52)="","",INDEX('Final Calculation Sheet'!$H$4:$H$40,$DG52))</f>
        <v/>
      </c>
      <c r="J52" s="70">
        <f>IF(INDEX('Final Calculation Sheet'!$I$4:$I$40,$DG52)="","",INDEX('Final Calculation Sheet'!$I$4:$I$40,$DG52))</f>
        <v/>
      </c>
      <c r="K52" s="70">
        <f>IF(INDEX('Final Calculation Sheet'!$J$4:$J$40,$DG52)="","",INDEX('Final Calculation Sheet'!$J$4:$J$40,$DG52))</f>
        <v/>
      </c>
      <c r="L52" s="70">
        <f>IF(INDEX('Final Calculation Sheet'!$K$4:$K$40,$DG52)="","",INDEX('Final Calculation Sheet'!$K$4:$K$40,$DG52))</f>
        <v/>
      </c>
      <c r="M52" s="70">
        <f>IF(INDEX('Final Calculation Sheet'!$L$4:$L$40,$DG52)="","",INDEX('Final Calculation Sheet'!$L$4:$L$40,$DG52))</f>
        <v/>
      </c>
      <c r="N52" s="70">
        <f>IF(INDEX('Final Calculation Sheet'!$M$4:$M$40,$DG52)="","",INDEX('Final Calculation Sheet'!$M$4:$M$40,$DG52))</f>
        <v/>
      </c>
      <c r="O52" s="71">
        <f>IF(INDEX('Final Calculation Sheet'!$N$4:$N$40,$DG52)="","",INDEX('Final Calculation Sheet'!$N$4:$N$40,$DG52))</f>
        <v/>
      </c>
      <c r="P52" s="70">
        <f>IF(INDEX('Final Calculation Sheet'!$O$4:$O$40,$DG52)="","",INDEX('Final Calculation Sheet'!$O$4:$O$40,$DG52))</f>
        <v/>
      </c>
      <c r="Q52" s="70">
        <f>IF(INDEX('Final Calculation Sheet'!$P$4:$P$40,$DG52)="","",INDEX('Final Calculation Sheet'!$P$4:$P$40,$DG52))</f>
        <v/>
      </c>
      <c r="R52" s="72">
        <f>IF(INDEX('Final Calculation Sheet'!$Q$4:$Q$40,$DG52)="","",INDEX('Final Calculation Sheet'!$Q$4:$Q$40,$DG52))</f>
        <v/>
      </c>
      <c r="S52" s="70">
        <f>IF(INDEX('Final Calculation Sheet'!$R$4:$R$40,$DG52)="","",INDEX('Final Calculation Sheet'!$R$4:$R$40,$DG52))</f>
        <v/>
      </c>
      <c r="T52" s="70">
        <f>IF(INDEX('Final Calculation Sheet'!$S$4:$S$40,$DG52)="","",INDEX('Final Calculation Sheet'!$S$4:$S$40,$DG52))</f>
        <v/>
      </c>
      <c r="U52" s="70">
        <f>IF(INDEX('Final Calculation Sheet'!$T$4:$T$40,$DG52)="","",INDEX('Final Calculation Sheet'!$T$4:$T$40,$DG52))</f>
        <v/>
      </c>
      <c r="V52" s="73">
        <f>IF(INDEX('Final Calculation Sheet'!$U$4:$U$40,$DG52)="","",INDEX('Final Calculation Sheet'!$U$4:$U$40,$DG52))</f>
        <v/>
      </c>
      <c r="W52" s="70">
        <f>IF(INDEX('Final Calculation Sheet'!$V$4:$V$40,$DG52)="","",INDEX('Final Calculation Sheet'!$V$4:$V$40,$DG52))</f>
        <v/>
      </c>
      <c r="X52" s="70">
        <f>IF(INDEX('Final Calculation Sheet'!$W$4:$W$40,$DG52)="","",INDEX('Final Calculation Sheet'!$W$4:$W$40,$DG52))</f>
        <v/>
      </c>
      <c r="Y52" s="70">
        <f>IF(INDEX('Final Calculation Sheet'!$X$4:$X$40,$DG52)="","",INDEX('Final Calculation Sheet'!$X$4:$X$40,$DG52))</f>
        <v/>
      </c>
      <c r="Z52" s="70">
        <f>IF(INDEX('Final Calculation Sheet'!$Y$4:$Y$40,$DG52)="","",INDEX('Final Calculation Sheet'!$Y$4:$Y$40,$DG52))</f>
        <v/>
      </c>
      <c r="AA52" s="70">
        <f>IF(INDEX('Final Calculation Sheet'!$Z$4:$Z$40,$DG52)="","",INDEX('Final Calculation Sheet'!$Z$4:$Z$40,$DG52))</f>
        <v/>
      </c>
      <c r="AB52" s="70">
        <f>IF(INDEX('Final Calculation Sheet'!$AA$4:$AA$40,$DG52)="","",INDEX('Final Calculation Sheet'!$AA$4:$AA$40,$DG52))</f>
        <v/>
      </c>
      <c r="AC52" s="70">
        <f>IF(INDEX('Final Calculation Sheet'!$AB$4:$AB$40,$DG52)="","",INDEX('Final Calculation Sheet'!$AB$4:$AB$40,$DG52))</f>
        <v/>
      </c>
      <c r="AD52" s="70">
        <f>IF(INDEX('Final Calculation Sheet'!$AC$4:$AC$40,$DG52)="","",INDEX('Final Calculation Sheet'!$AC$4:$AC$40,$DG52))</f>
        <v/>
      </c>
      <c r="AE52" s="70">
        <f>IF(INDEX('Final Calculation Sheet'!$AD$4:$AD$40,$DG52)="","",INDEX('Final Calculation Sheet'!$AD$4:$AD$40,$DG52))</f>
        <v/>
      </c>
      <c r="AF52" s="75">
        <f>IF(INDEX('Final Calculation Sheet'!$AD$4:$AD$40,$DG52)="","",IF(INDEX('Final Calculation Sheet'!$AD$4:$AD$40,$DG52)&lt;=5,"SETTLED","OUTSTANDING"))</f>
        <v/>
      </c>
      <c r="AG52" s="70">
        <f>IF(INDEX('Final Calculation Sheet'!$AF$4:$AF$40,$DG52)="","",INDEX('Final Calculation Sheet'!$AF$4:$AF$40,$DG52))</f>
        <v/>
      </c>
      <c r="AH52" s="74">
        <f>IF(INDEX('Final Calculation Sheet'!$AG$4:$AG$40,$DG52)="","",INDEX('Final Calculation Sheet'!$AG$4:$AG$40,$DG52))</f>
        <v/>
      </c>
      <c r="AI52" s="70">
        <f>IF(INDEX('Final Calculation Sheet'!$AH$4:$AH$40,$DG52)="","",INDEX('Final Calculation Sheet'!$AH$4:$AH$40,$DG52))</f>
        <v/>
      </c>
      <c r="DC52">
        <f>IF(COUNTA($B$4:$AI$4)=0,22,IF(AJ27,DE52,$DE$54+35-DE52))</f>
      </c>
      <c r="DE52">
        <f>DE50+IF(AJ27,1,0)</f>
      </c>
      <c r="DF52">
        <v>22</v>
      </c>
      <c r="DG52">
        <f>IF(COUNTA($B$4:$AI$4)=0,22,INDEX($DF$6:$DF$55,MATCH(35,$DC$6:$DC$55,0)))</f>
      </c>
    </row>
    <row r="53" outlineLevel="1" ht="15" customHeight="1" s="137">
      <c r="A53" s="90" t="n">
        <v>2</v>
      </c>
      <c r="B53" s="92">
        <f>IF(INDEX('Final Calculation Sheet'!$F$4:$F$40,$DG53)="","",INDEX('Final Calculation Sheet'!$F$4:$F$40,$DG53))</f>
        <v/>
      </c>
      <c r="C53" s="92">
        <f>IF(INDEX('Final Calculation Sheet'!$G$4:$G$40,$DG53)="","",INDEX('Final Calculation Sheet'!$G$4:$G$40,$DG53))</f>
        <v/>
      </c>
      <c r="D53" s="94">
        <f>IF(INDEX('Final Calculation Sheet'!$B$4:$B$40,$DG53)="","",INDEX('Final Calculation Sheet'!$B$4:$B$40,$DG53))</f>
        <v/>
      </c>
      <c r="E53" s="94">
        <f>IF(INDEX('Final Calculation Sheet'!$D$4:$D$40,$DG53)="","",INDEX('Final Calculation Sheet'!$D$4:$D$40,$DG53))</f>
        <v/>
      </c>
      <c r="F53" s="94">
        <f>IF(INDEX('Final Calculation Sheet'!$A$4:$A$40,$DG53)="","",INDEX('Final Calculation Sheet'!$A$4:$A$40,$DG53))</f>
        <v/>
      </c>
      <c r="G53" s="94">
        <f>IF(INDEX('Final Calculation Sheet'!$E$4:$E$40,$DG53)="","",INDEX('Final Calculation Sheet'!$E$4:$E$40,$DG53))</f>
        <v/>
      </c>
      <c r="H53" s="95">
        <f>IF(INDEX('Final Calculation Sheet'!$C$4:$C$40,$DG53)="","",INDEX('Final Calculation Sheet'!$C$4:$C$40,$DG53))</f>
        <v/>
      </c>
      <c r="I53" s="95">
        <f>IF(INDEX('Final Calculation Sheet'!$H$4:$H$40,$DG53)="","",INDEX('Final Calculation Sheet'!$H$4:$H$40,$DG53))</f>
        <v/>
      </c>
      <c r="J53" s="95">
        <f>IF(INDEX('Final Calculation Sheet'!$I$4:$I$40,$DG53)="","",INDEX('Final Calculation Sheet'!$I$4:$I$40,$DG53))</f>
        <v/>
      </c>
      <c r="K53" s="95">
        <f>IF(INDEX('Final Calculation Sheet'!$J$4:$J$40,$DG53)="","",INDEX('Final Calculation Sheet'!$J$4:$J$40,$DG53))</f>
        <v/>
      </c>
      <c r="L53" s="95">
        <f>IF(INDEX('Final Calculation Sheet'!$K$4:$K$40,$DG53)="","",INDEX('Final Calculation Sheet'!$K$4:$K$40,$DG53))</f>
        <v/>
      </c>
      <c r="M53" s="95">
        <f>IF(INDEX('Final Calculation Sheet'!$L$4:$L$40,$DG53)="","",INDEX('Final Calculation Sheet'!$L$4:$L$40,$DG53))</f>
        <v/>
      </c>
      <c r="N53" s="95">
        <f>IF(INDEX('Final Calculation Sheet'!$M$4:$M$40,$DG53)="","",INDEX('Final Calculation Sheet'!$M$4:$M$40,$DG53))</f>
        <v/>
      </c>
      <c r="O53" s="96">
        <f>IF(INDEX('Final Calculation Sheet'!$N$4:$N$40,$DG53)="","",INDEX('Final Calculation Sheet'!$N$4:$N$40,$DG53))</f>
        <v/>
      </c>
      <c r="P53" s="95">
        <f>IF(INDEX('Final Calculation Sheet'!$O$4:$O$40,$DG53)="","",INDEX('Final Calculation Sheet'!$O$4:$O$40,$DG53))</f>
        <v/>
      </c>
      <c r="Q53" s="95">
        <f>IF(INDEX('Final Calculation Sheet'!$P$4:$P$40,$DG53)="","",INDEX('Final Calculation Sheet'!$P$4:$P$40,$DG53))</f>
        <v/>
      </c>
      <c r="R53" s="97">
        <f>IF(INDEX('Final Calculation Sheet'!$Q$4:$Q$40,$DG53)="","",INDEX('Final Calculation Sheet'!$Q$4:$Q$40,$DG53))</f>
        <v/>
      </c>
      <c r="S53" s="95">
        <f>IF(INDEX('Final Calculation Sheet'!$R$4:$R$40,$DG53)="","",INDEX('Final Calculation Sheet'!$R$4:$R$40,$DG53))</f>
        <v/>
      </c>
      <c r="T53" s="95">
        <f>IF(INDEX('Final Calculation Sheet'!$S$4:$S$40,$DG53)="","",INDEX('Final Calculation Sheet'!$S$4:$S$40,$DG53))</f>
        <v/>
      </c>
      <c r="U53" s="95">
        <f>IF(INDEX('Final Calculation Sheet'!$T$4:$T$40,$DG53)="","",INDEX('Final Calculation Sheet'!$T$4:$T$40,$DG53))</f>
        <v/>
      </c>
      <c r="V53" s="98">
        <f>IF(INDEX('Final Calculation Sheet'!$U$4:$U$40,$DG53)="","",INDEX('Final Calculation Sheet'!$U$4:$U$40,$DG53))</f>
        <v/>
      </c>
      <c r="W53" s="95">
        <f>IF(INDEX('Final Calculation Sheet'!$V$4:$V$40,$DG53)="","",INDEX('Final Calculation Sheet'!$V$4:$V$40,$DG53))</f>
        <v/>
      </c>
      <c r="X53" s="95">
        <f>IF(INDEX('Final Calculation Sheet'!$W$4:$W$40,$DG53)="","",INDEX('Final Calculation Sheet'!$W$4:$W$40,$DG53))</f>
        <v/>
      </c>
      <c r="Y53" s="95">
        <f>IF(INDEX('Final Calculation Sheet'!$X$4:$X$40,$DG53)="","",INDEX('Final Calculation Sheet'!$X$4:$X$40,$DG53))</f>
        <v/>
      </c>
      <c r="Z53" s="95">
        <f>IF(INDEX('Final Calculation Sheet'!$Y$4:$Y$40,$DG53)="","",INDEX('Final Calculation Sheet'!$Y$4:$Y$40,$DG53))</f>
        <v/>
      </c>
      <c r="AA53" s="95">
        <f>IF(INDEX('Final Calculation Sheet'!$Z$4:$Z$40,$DG53)="","",INDEX('Final Calculation Sheet'!$Z$4:$Z$40,$DG53))</f>
        <v/>
      </c>
      <c r="AB53" s="95">
        <f>IF(INDEX('Final Calculation Sheet'!$AA$4:$AA$40,$DG53)="","",INDEX('Final Calculation Sheet'!$AA$4:$AA$40,$DG53))</f>
        <v/>
      </c>
      <c r="AC53" s="95">
        <f>IF(INDEX('Final Calculation Sheet'!$AB$4:$AB$40,$DG53)="","",INDEX('Final Calculation Sheet'!$AB$4:$AB$40,$DG53))</f>
        <v/>
      </c>
      <c r="AD53" s="95">
        <f>IF(INDEX('Final Calculation Sheet'!$AC$4:$AC$40,$DG53)="","",INDEX('Final Calculation Sheet'!$AC$4:$AC$40,$DG53))</f>
        <v/>
      </c>
      <c r="AE53" s="95">
        <f>IF(INDEX('Final Calculation Sheet'!$AD$4:$AD$40,$DG53)="","",INDEX('Final Calculation Sheet'!$AD$4:$AD$40,$DG53))</f>
        <v/>
      </c>
      <c r="AF53" s="100">
        <f>IF(INDEX('Final Calculation Sheet'!$AD$4:$AD$40,$DG53)="","",IF(INDEX('Final Calculation Sheet'!$AD$4:$AD$40,$DG53)&lt;=5,"SETTLED","OUTSTANDING"))</f>
        <v/>
      </c>
      <c r="AG53" s="95">
        <f>IF(INDEX('Final Calculation Sheet'!$AF$4:$AF$40,$DG53)="","",INDEX('Final Calculation Sheet'!$AF$4:$AF$40,$DG53))</f>
        <v/>
      </c>
      <c r="AH53" s="99">
        <f>IF(INDEX('Final Calculation Sheet'!$AG$4:$AG$40,$DG53)="","",INDEX('Final Calculation Sheet'!$AG$4:$AG$40,$DG53))</f>
        <v/>
      </c>
      <c r="AI53" s="95">
        <f>IF(INDEX('Final Calculation Sheet'!$AH$4:$AH$40,$DG53)="","",INDEX('Final Calculation Sheet'!$AH$4:$AH$40,$DG53))</f>
        <v/>
      </c>
      <c r="DC53">
        <f>IF(COUNTA($B$4:$AI$4)=0,25,IF(AJ30,DE53,$DE$54+36-DE53))</f>
      </c>
      <c r="DE53">
        <f>DE52+IF(AJ30,1,0)</f>
      </c>
      <c r="DF53">
        <v>25</v>
      </c>
      <c r="DG53">
        <f>IF(COUNTA($B$4:$AI$4)=0,25,INDEX($DF$6:$DF$55,MATCH(36,$DC$6:$DC$55,0)))</f>
      </c>
    </row>
    <row r="54" outlineLevel="1" ht="15" customHeight="1" s="137">
      <c r="A54" s="67" t="n">
        <v>3</v>
      </c>
      <c r="B54" s="76">
        <f>IF(INDEX('Final Calculation Sheet'!$F$4:$F$40,$DG54)="","",INDEX('Final Calculation Sheet'!$F$4:$F$40,$DG54))</f>
        <v/>
      </c>
      <c r="C54" s="76">
        <f>IF(INDEX('Final Calculation Sheet'!$G$4:$G$40,$DG54)="","",INDEX('Final Calculation Sheet'!$G$4:$G$40,$DG54))</f>
        <v/>
      </c>
      <c r="D54" s="80">
        <f>IF(INDEX('Final Calculation Sheet'!$B$4:$B$40,$DG54)="","",INDEX('Final Calculation Sheet'!$B$4:$B$40,$DG54))</f>
        <v/>
      </c>
      <c r="E54" s="80">
        <f>IF(INDEX('Final Calculation Sheet'!$D$4:$D$40,$DG54)="","",INDEX('Final Calculation Sheet'!$D$4:$D$40,$DG54))</f>
        <v/>
      </c>
      <c r="F54" s="80">
        <f>IF(INDEX('Final Calculation Sheet'!$A$4:$A$40,$DG54)="","",INDEX('Final Calculation Sheet'!$A$4:$A$40,$DG54))</f>
        <v/>
      </c>
      <c r="G54" s="80">
        <f>IF(INDEX('Final Calculation Sheet'!$E$4:$E$40,$DG54)="","",INDEX('Final Calculation Sheet'!$E$4:$E$40,$DG54))</f>
        <v/>
      </c>
      <c r="H54" s="70">
        <f>IF(INDEX('Final Calculation Sheet'!$C$4:$C$40,$DG54)="","",INDEX('Final Calculation Sheet'!$C$4:$C$40,$DG54))</f>
        <v/>
      </c>
      <c r="I54" s="70">
        <f>IF(INDEX('Final Calculation Sheet'!$H$4:$H$40,$DG54)="","",INDEX('Final Calculation Sheet'!$H$4:$H$40,$DG54))</f>
        <v/>
      </c>
      <c r="J54" s="70">
        <f>IF(INDEX('Final Calculation Sheet'!$I$4:$I$40,$DG54)="","",INDEX('Final Calculation Sheet'!$I$4:$I$40,$DG54))</f>
        <v/>
      </c>
      <c r="K54" s="70">
        <f>IF(INDEX('Final Calculation Sheet'!$J$4:$J$40,$DG54)="","",INDEX('Final Calculation Sheet'!$J$4:$J$40,$DG54))</f>
        <v/>
      </c>
      <c r="L54" s="70">
        <f>IF(INDEX('Final Calculation Sheet'!$K$4:$K$40,$DG54)="","",INDEX('Final Calculation Sheet'!$K$4:$K$40,$DG54))</f>
        <v/>
      </c>
      <c r="M54" s="70">
        <f>IF(INDEX('Final Calculation Sheet'!$L$4:$L$40,$DG54)="","",INDEX('Final Calculation Sheet'!$L$4:$L$40,$DG54))</f>
        <v/>
      </c>
      <c r="N54" s="70">
        <f>IF(INDEX('Final Calculation Sheet'!$M$4:$M$40,$DG54)="","",INDEX('Final Calculation Sheet'!$M$4:$M$40,$DG54))</f>
        <v/>
      </c>
      <c r="O54" s="71">
        <f>IF(INDEX('Final Calculation Sheet'!$N$4:$N$40,$DG54)="","",INDEX('Final Calculation Sheet'!$N$4:$N$40,$DG54))</f>
        <v/>
      </c>
      <c r="P54" s="70">
        <f>IF(INDEX('Final Calculation Sheet'!$O$4:$O$40,$DG54)="","",INDEX('Final Calculation Sheet'!$O$4:$O$40,$DG54))</f>
        <v/>
      </c>
      <c r="Q54" s="70">
        <f>IF(INDEX('Final Calculation Sheet'!$P$4:$P$40,$DG54)="","",INDEX('Final Calculation Sheet'!$P$4:$P$40,$DG54))</f>
        <v/>
      </c>
      <c r="R54" s="72">
        <f>IF(INDEX('Final Calculation Sheet'!$Q$4:$Q$40,$DG54)="","",INDEX('Final Calculation Sheet'!$Q$4:$Q$40,$DG54))</f>
        <v/>
      </c>
      <c r="S54" s="70">
        <f>IF(INDEX('Final Calculation Sheet'!$R$4:$R$40,$DG54)="","",INDEX('Final Calculation Sheet'!$R$4:$R$40,$DG54))</f>
        <v/>
      </c>
      <c r="T54" s="70">
        <f>IF(INDEX('Final Calculation Sheet'!$S$4:$S$40,$DG54)="","",INDEX('Final Calculation Sheet'!$S$4:$S$40,$DG54))</f>
        <v/>
      </c>
      <c r="U54" s="70">
        <f>IF(INDEX('Final Calculation Sheet'!$T$4:$T$40,$DG54)="","",INDEX('Final Calculation Sheet'!$T$4:$T$40,$DG54))</f>
        <v/>
      </c>
      <c r="V54" s="73">
        <f>IF(INDEX('Final Calculation Sheet'!$U$4:$U$40,$DG54)="","",INDEX('Final Calculation Sheet'!$U$4:$U$40,$DG54))</f>
        <v/>
      </c>
      <c r="W54" s="70">
        <f>IF(INDEX('Final Calculation Sheet'!$V$4:$V$40,$DG54)="","",INDEX('Final Calculation Sheet'!$V$4:$V$40,$DG54))</f>
        <v/>
      </c>
      <c r="X54" s="70">
        <f>IF(INDEX('Final Calculation Sheet'!$W$4:$W$40,$DG54)="","",INDEX('Final Calculation Sheet'!$W$4:$W$40,$DG54))</f>
        <v/>
      </c>
      <c r="Y54" s="70">
        <f>IF(INDEX('Final Calculation Sheet'!$X$4:$X$40,$DG54)="","",INDEX('Final Calculation Sheet'!$X$4:$X$40,$DG54))</f>
        <v/>
      </c>
      <c r="Z54" s="70">
        <f>IF(INDEX('Final Calculation Sheet'!$Y$4:$Y$40,$DG54)="","",INDEX('Final Calculation Sheet'!$Y$4:$Y$40,$DG54))</f>
        <v/>
      </c>
      <c r="AA54" s="70">
        <f>IF(INDEX('Final Calculation Sheet'!$Z$4:$Z$40,$DG54)="","",INDEX('Final Calculation Sheet'!$Z$4:$Z$40,$DG54))</f>
        <v/>
      </c>
      <c r="AB54" s="70">
        <f>IF(INDEX('Final Calculation Sheet'!$AA$4:$AA$40,$DG54)="","",INDEX('Final Calculation Sheet'!$AA$4:$AA$40,$DG54))</f>
        <v/>
      </c>
      <c r="AC54" s="70">
        <f>IF(INDEX('Final Calculation Sheet'!$AB$4:$AB$40,$DG54)="","",INDEX('Final Calculation Sheet'!$AB$4:$AB$40,$DG54))</f>
        <v/>
      </c>
      <c r="AD54" s="70">
        <f>IF(INDEX('Final Calculation Sheet'!$AC$4:$AC$40,$DG54)="","",INDEX('Final Calculation Sheet'!$AC$4:$AC$40,$DG54))</f>
        <v/>
      </c>
      <c r="AE54" s="70">
        <f>IF(INDEX('Final Calculation Sheet'!$AD$4:$AD$40,$DG54)="","",INDEX('Final Calculation Sheet'!$AD$4:$AD$40,$DG54))</f>
        <v/>
      </c>
      <c r="AF54" s="75">
        <f>IF(INDEX('Final Calculation Sheet'!$AD$4:$AD$40,$DG54)="","",IF(INDEX('Final Calculation Sheet'!$AD$4:$AD$40,$DG54)&lt;=5,"SETTLED","OUTSTANDING"))</f>
        <v/>
      </c>
      <c r="AG54" s="70">
        <f>IF(INDEX('Final Calculation Sheet'!$AF$4:$AF$40,$DG54)="","",INDEX('Final Calculation Sheet'!$AF$4:$AF$40,$DG54))</f>
        <v/>
      </c>
      <c r="AH54" s="74">
        <f>IF(INDEX('Final Calculation Sheet'!$AG$4:$AG$40,$DG54)="","",INDEX('Final Calculation Sheet'!$AG$4:$AG$40,$DG54))</f>
        <v/>
      </c>
      <c r="AI54" s="70">
        <f>IF(INDEX('Final Calculation Sheet'!$AH$4:$AH$40,$DG54)="","",INDEX('Final Calculation Sheet'!$AH$4:$AH$40,$DG54))</f>
        <v/>
      </c>
      <c r="DC54">
        <f>IF(COUNTA($B$4:$AI$4)=0,32,IF(AJ37,DE54,$DE$54+37-DE54))</f>
      </c>
      <c r="DE54">
        <f>DE53+IF(AJ37,1,0)</f>
      </c>
      <c r="DF54">
        <v>32</v>
      </c>
      <c r="DG54">
        <f>IF(COUNTA($B$4:$AI$4)=0,32,INDEX($DF$6:$DF$55,MATCH(37,$DC$6:$DC$55,0)))</f>
      </c>
    </row>
    <row r="55" ht="15" customHeight="1" s="137">
      <c r="A55" s="81" t="inlineStr">
        <is>
          <t>∑</t>
        </is>
      </c>
      <c r="B55" s="83" t="n"/>
      <c r="C55" s="83">
        <f>ROWS($C$52:$C$54)&amp;" lot(s)"</f>
        <v/>
      </c>
      <c r="D55" s="83">
        <f>IF(COUNTA($B$4:$AI$4)=0,"SUBTOTAL — WATAN SCRAP TRADERS","SUBTOTAL — rows above")</f>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IF(COUNTA($B$4:$AI$4)=0,"—",$DD$42&amp;"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conditionalFormatting sqref="B6:AI55">
    <cfRule type="expression" dxfId="53" priority="60">
      <formula>AND(COUNTA($B$4:$AI$4)&gt;0,ISNUMBER($A6),INDEX($AJ$6:$AJ$42,$DG6)=FALSE)</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LD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S.M.C</dc:creator>
  <dc:language xmlns:dc="http://purl.org/dc/elements/1.1/">en-US</dc:language>
  <dcterms:created xmlns:dcterms="http://purl.org/dc/terms/" xmlns:xsi="http://www.w3.org/2001/XMLSchema-instance" xsi:type="dcterms:W3CDTF">2026-09-02T06:08:07Z</dcterms:created>
  <dcterms:modified xmlns:dcterms="http://purl.org/dc/terms/" xmlns:xsi="http://www.w3.org/2001/XMLSchema-instance" xsi:type="dcterms:W3CDTF">2026-09-11T05:47:57Z</dcterms:modified>
  <cp:lastModifiedBy>S.M.C</cp:lastModifiedBy>
  <cp:revision>0</cp:revision>
</cp:coreProperties>
</file>